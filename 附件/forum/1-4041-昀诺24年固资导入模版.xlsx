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37" windowHeight="11194"/>
  </bookViews>
  <sheets>
    <sheet name="卡片管理" sheetId="1" r:id="rId1"/>
  </sheets>
  <definedNames>
    <definedName name="_xlnm._FilterDatabase" localSheetId="0" hidden="1">卡片管理!$A$1:$Y$227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ERPSERVER$</author>
  </authors>
  <commentList>
    <comment ref="A1" authorId="0">
      <text>
        <r>
          <rPr>
            <sz val="10"/>
            <rFont val="Arial"/>
            <charset val="134"/>
          </rPr>
          <t>Asset_CardDate</t>
        </r>
      </text>
    </comment>
    <comment ref="B1" authorId="0">
      <text>
        <r>
          <rPr>
            <sz val="10"/>
            <rFont val="Arial"/>
            <charset val="134"/>
          </rPr>
          <t>Asset_AssetClass_Name</t>
        </r>
      </text>
    </comment>
    <comment ref="C1" authorId="0">
      <text>
        <r>
          <rPr>
            <sz val="10"/>
            <rFont val="Arial"/>
            <charset val="134"/>
          </rPr>
          <t>Asset</t>
        </r>
      </text>
    </comment>
    <comment ref="D1" authorId="0">
      <text>
        <r>
          <rPr>
            <sz val="10"/>
            <rFont val="Arial"/>
            <charset val="134"/>
          </rPr>
          <t>Asset_Name</t>
        </r>
      </text>
    </comment>
    <comment ref="G1" authorId="0">
      <text>
        <r>
          <rPr>
            <sz val="10"/>
            <rFont val="Arial"/>
            <charset val="134"/>
          </rPr>
          <t>Asset_Spec</t>
        </r>
      </text>
    </comment>
    <comment ref="H1" authorId="0">
      <text>
        <r>
          <rPr>
            <sz val="10"/>
            <rFont val="Arial"/>
            <charset val="134"/>
          </rPr>
          <t>Asset_Qty</t>
        </r>
      </text>
    </comment>
    <comment ref="I1" authorId="0">
      <text>
        <r>
          <rPr>
            <sz val="10"/>
            <rFont val="Arial"/>
            <charset val="134"/>
          </rPr>
          <t>Asset_mutidept</t>
        </r>
      </text>
    </comment>
    <comment ref="J1" authorId="0">
      <text>
        <r>
          <rPr>
            <sz val="10"/>
            <rFont val="Arial"/>
            <charset val="134"/>
          </rPr>
          <t>Asset_BookDate</t>
        </r>
      </text>
    </comment>
    <comment ref="L1" authorId="0">
      <text>
        <r>
          <rPr>
            <sz val="10"/>
            <rFont val="Arial"/>
            <charset val="134"/>
          </rPr>
          <t>Asset_ExpYearAndMonth</t>
        </r>
      </text>
    </comment>
    <comment ref="O1" authorId="0">
      <text>
        <r>
          <rPr>
            <sz val="10"/>
            <rFont val="Arial"/>
            <charset val="134"/>
          </rPr>
          <t>Asset_UsedYearAndMonth</t>
        </r>
      </text>
    </comment>
    <comment ref="P1" authorId="0">
      <text>
        <r>
          <rPr>
            <sz val="10"/>
            <rFont val="Arial"/>
            <charset val="134"/>
          </rPr>
          <t>Asset_OrigValue</t>
        </r>
      </text>
    </comment>
    <comment ref="Q1" authorId="0">
      <text>
        <r>
          <rPr>
            <sz val="10"/>
            <rFont val="Arial"/>
            <charset val="134"/>
          </rPr>
          <t>Asset_TotalDepr</t>
        </r>
      </text>
    </comment>
    <comment ref="R1" authorId="0">
      <text>
        <r>
          <rPr>
            <sz val="10"/>
            <rFont val="Arial"/>
            <charset val="134"/>
          </rPr>
          <t>Asset_NetAmount</t>
        </r>
      </text>
    </comment>
    <comment ref="S1" authorId="0">
      <text>
        <r>
          <rPr>
            <sz val="10"/>
            <rFont val="Arial"/>
            <charset val="134"/>
          </rPr>
          <t>Asset_ExpNRV</t>
        </r>
      </text>
    </comment>
    <comment ref="T1" authorId="0">
      <text>
        <r>
          <rPr>
            <sz val="10"/>
            <rFont val="Arial"/>
            <charset val="134"/>
          </rPr>
          <t>Asset_MonthDeprAmount</t>
        </r>
      </text>
    </comment>
    <comment ref="U1" authorId="0">
      <text>
        <r>
          <rPr>
            <sz val="10"/>
            <rFont val="Arial"/>
            <charset val="134"/>
          </rPr>
          <t>Asset_MadeDate</t>
        </r>
      </text>
    </comment>
    <comment ref="V1" authorId="0">
      <text>
        <r>
          <rPr>
            <sz val="10"/>
            <rFont val="Arial"/>
            <charset val="134"/>
          </rPr>
          <t>Asset_PeriodDepr</t>
        </r>
      </text>
    </comment>
  </commentList>
</comments>
</file>

<file path=xl/sharedStrings.xml><?xml version="1.0" encoding="utf-8"?>
<sst xmlns="http://schemas.openxmlformats.org/spreadsheetml/2006/main" count="2357" uniqueCount="631">
  <si>
    <t>卡片日期</t>
  </si>
  <si>
    <t>资产分类名称</t>
  </si>
  <si>
    <t>资产编码</t>
  </si>
  <si>
    <t>资产名称</t>
  </si>
  <si>
    <t>name</t>
  </si>
  <si>
    <t>规格型号</t>
  </si>
  <si>
    <t>数量</t>
  </si>
  <si>
    <t>使用部门</t>
  </si>
  <si>
    <t>入账日期</t>
  </si>
  <si>
    <t>prorata_date</t>
  </si>
  <si>
    <t>预计使用年限</t>
  </si>
  <si>
    <t>method_number</t>
  </si>
  <si>
    <t>method_period</t>
  </si>
  <si>
    <t>已计提年限</t>
  </si>
  <si>
    <t>original_value</t>
  </si>
  <si>
    <t>already_depreciated_amount_import</t>
  </si>
  <si>
    <t>净值</t>
  </si>
  <si>
    <t>salvage_value</t>
  </si>
  <si>
    <t>月折旧额</t>
  </si>
  <si>
    <t>建卡日期</t>
  </si>
  <si>
    <t>期间折旧</t>
  </si>
  <si>
    <t>account_asset_id</t>
  </si>
  <si>
    <t>account_depreciation_id</t>
  </si>
  <si>
    <t>account_depreciation_expense_id</t>
  </si>
  <si>
    <t>2023-05-31</t>
  </si>
  <si>
    <t>机器机械和其他生产设备</t>
  </si>
  <si>
    <t>020040</t>
  </si>
  <si>
    <t>模具</t>
  </si>
  <si>
    <t>-</t>
  </si>
  <si>
    <t>amigo单相表模具</t>
  </si>
  <si>
    <t>研发部</t>
  </si>
  <si>
    <t>10年</t>
  </si>
  <si>
    <t>1年7月</t>
  </si>
  <si>
    <t>2023-07-31</t>
  </si>
  <si>
    <t>020043</t>
  </si>
  <si>
    <t>装配流水线</t>
  </si>
  <si>
    <t>生产部</t>
  </si>
  <si>
    <t>1年5月</t>
  </si>
  <si>
    <t>2023-08-31</t>
  </si>
  <si>
    <t>020050</t>
  </si>
  <si>
    <t>单相电能表检验装置</t>
  </si>
  <si>
    <t>HS-6103D分体式精度0.05%</t>
  </si>
  <si>
    <t>1年4月</t>
  </si>
  <si>
    <t>020051</t>
  </si>
  <si>
    <t>调表软件</t>
  </si>
  <si>
    <t>020052</t>
  </si>
  <si>
    <t>020053</t>
  </si>
  <si>
    <t>单相电能表检验装置（导轨表）</t>
  </si>
  <si>
    <t>HS-61023D  12表位一体台架  导轨表用</t>
  </si>
  <si>
    <t>020054</t>
  </si>
  <si>
    <t>调试专机</t>
  </si>
  <si>
    <t>自动化专机</t>
  </si>
  <si>
    <t>020055</t>
  </si>
  <si>
    <t>MIAIAMIGO</t>
  </si>
  <si>
    <t>020056</t>
  </si>
  <si>
    <t>DCU面板模具</t>
  </si>
  <si>
    <t>2023-10-31</t>
  </si>
  <si>
    <t>020059</t>
  </si>
  <si>
    <t>CNU模具</t>
  </si>
  <si>
    <t>1年2月</t>
  </si>
  <si>
    <t>020060</t>
  </si>
  <si>
    <t>CNU简单模具</t>
  </si>
  <si>
    <t>020061</t>
  </si>
  <si>
    <t>CNU冲压件模具</t>
  </si>
  <si>
    <t>2023-11-30</t>
  </si>
  <si>
    <t>020065</t>
  </si>
  <si>
    <t>CNU-amigo模块盒模具</t>
  </si>
  <si>
    <t>1年1月</t>
  </si>
  <si>
    <t>020066</t>
  </si>
  <si>
    <t>超声波模具</t>
  </si>
  <si>
    <t>020067</t>
  </si>
  <si>
    <t>磁珠外壳</t>
  </si>
  <si>
    <t>020068</t>
  </si>
  <si>
    <t>磁珠盖子</t>
  </si>
  <si>
    <t>020069</t>
  </si>
  <si>
    <t>磁珠外壳改模</t>
  </si>
  <si>
    <t>2023-12-31</t>
  </si>
  <si>
    <t>020070</t>
  </si>
  <si>
    <t>三相 0.05 级多功能标准电能表</t>
  </si>
  <si>
    <t>SRS121.3</t>
  </si>
  <si>
    <t>1年</t>
  </si>
  <si>
    <t>020071</t>
  </si>
  <si>
    <t>三相功率源蓝牙控制显示面板</t>
  </si>
  <si>
    <t>PCS400.3</t>
  </si>
  <si>
    <t>020072</t>
  </si>
  <si>
    <t>三相便携式宽量程谐波功率源</t>
  </si>
  <si>
    <t>PPS400.3</t>
  </si>
  <si>
    <t>020073</t>
  </si>
  <si>
    <t>矢量网络分析仪</t>
  </si>
  <si>
    <t>E5062A</t>
  </si>
  <si>
    <t>2024-02-29</t>
  </si>
  <si>
    <t>020075</t>
  </si>
  <si>
    <t>探头模具</t>
  </si>
  <si>
    <t>10月</t>
  </si>
  <si>
    <t>020076</t>
  </si>
  <si>
    <t>020077</t>
  </si>
  <si>
    <t>2024-04-01</t>
  </si>
  <si>
    <t>8月</t>
  </si>
  <si>
    <t>2024-04-24</t>
  </si>
  <si>
    <t>020078</t>
  </si>
  <si>
    <t>020079</t>
  </si>
  <si>
    <t>2024-03-31</t>
  </si>
  <si>
    <t>020080</t>
  </si>
  <si>
    <t>频谱仪</t>
  </si>
  <si>
    <t>DSA710</t>
  </si>
  <si>
    <t>9月</t>
  </si>
  <si>
    <t>2024-04-30</t>
  </si>
  <si>
    <t>020081</t>
  </si>
  <si>
    <t>上下盖模块盒模具</t>
  </si>
  <si>
    <t>020082</t>
  </si>
  <si>
    <t>小盖面板模具</t>
  </si>
  <si>
    <t>020083</t>
  </si>
  <si>
    <t>单相电表检验装置</t>
  </si>
  <si>
    <t>HS-6103D 分体式，精度0.05%：0-100A</t>
  </si>
  <si>
    <t>2024-05-31</t>
  </si>
  <si>
    <t>020084</t>
  </si>
  <si>
    <t>三相铜片模具</t>
  </si>
  <si>
    <t>7月</t>
  </si>
  <si>
    <t>020085</t>
  </si>
  <si>
    <t>三相辅电插座铜片模具</t>
  </si>
  <si>
    <t>2024-06-30</t>
  </si>
  <si>
    <t>020092</t>
  </si>
  <si>
    <t>包胶模具</t>
  </si>
  <si>
    <t>6月</t>
  </si>
  <si>
    <t>020094</t>
  </si>
  <si>
    <t>移印机配件</t>
  </si>
  <si>
    <t>2024-07-31</t>
  </si>
  <si>
    <t>020098</t>
  </si>
  <si>
    <t>120ACNU-AMGIGO</t>
  </si>
  <si>
    <t>5月</t>
  </si>
  <si>
    <t>020099</t>
  </si>
  <si>
    <t>C3299</t>
  </si>
  <si>
    <t>2024-08-31</t>
  </si>
  <si>
    <t>020100</t>
  </si>
  <si>
    <t>三相电能表便携式检验装置</t>
  </si>
  <si>
    <t>HS-3303,表源一体桌面式，精度0.06%.0-100A</t>
  </si>
  <si>
    <t>4月</t>
  </si>
  <si>
    <t>020101</t>
  </si>
  <si>
    <t>三相电能表检验装置</t>
  </si>
  <si>
    <t>HS-3313M,3表位一体式，精度0.055.0-100A</t>
  </si>
  <si>
    <t>020102</t>
  </si>
  <si>
    <t>NB电池仓模具</t>
  </si>
  <si>
    <t>2024-09-30</t>
  </si>
  <si>
    <t>020106</t>
  </si>
  <si>
    <t>注塑件模具</t>
  </si>
  <si>
    <t>B11094 B11095</t>
  </si>
  <si>
    <t>3月</t>
  </si>
  <si>
    <t>020107</t>
  </si>
  <si>
    <t>B11010</t>
  </si>
  <si>
    <t>020108</t>
  </si>
  <si>
    <t>B11009</t>
  </si>
  <si>
    <t>020109</t>
  </si>
  <si>
    <t>B11008</t>
  </si>
  <si>
    <t>020110</t>
  </si>
  <si>
    <t>B11007</t>
  </si>
  <si>
    <t>020111</t>
  </si>
  <si>
    <t>B11006</t>
  </si>
  <si>
    <t>020112</t>
  </si>
  <si>
    <t>B11005</t>
  </si>
  <si>
    <t>020113</t>
  </si>
  <si>
    <t>B11004</t>
  </si>
  <si>
    <t>2024-10-31</t>
  </si>
  <si>
    <t>020114</t>
  </si>
  <si>
    <t>燃气模块外壳注塑模具</t>
  </si>
  <si>
    <t>2月</t>
  </si>
  <si>
    <t>020115</t>
  </si>
  <si>
    <t>燃气表外壳注塑模具</t>
  </si>
  <si>
    <t>020116</t>
  </si>
  <si>
    <t>燃气表外壳硅胶塞</t>
  </si>
  <si>
    <t>020117</t>
  </si>
  <si>
    <t>透明光导柱</t>
  </si>
  <si>
    <t>020118</t>
  </si>
  <si>
    <t>燃气表线束连接器模具</t>
  </si>
  <si>
    <t>020120</t>
  </si>
  <si>
    <t>模块盒模具</t>
  </si>
  <si>
    <t>2024-12-01</t>
  </si>
  <si>
    <t>020127</t>
  </si>
  <si>
    <t>HS-6303E,16表位一体式；精度0.05%；0-100A</t>
  </si>
  <si>
    <t>020128</t>
  </si>
  <si>
    <t>DM-24W10264外置线束模具</t>
  </si>
  <si>
    <t>2024-12-30</t>
  </si>
  <si>
    <t>020129</t>
  </si>
  <si>
    <t>单相老化车</t>
  </si>
  <si>
    <t>HS-6125 铝合金 96表位,双面挂 表</t>
  </si>
  <si>
    <t>2024-11-30</t>
  </si>
  <si>
    <t>020130</t>
  </si>
  <si>
    <t>HS-6103F,0.05 级,0-100A,48表 位主副台结构</t>
  </si>
  <si>
    <t>020131</t>
  </si>
  <si>
    <t>单相电能 表检验装置</t>
  </si>
  <si>
    <t>020132</t>
  </si>
  <si>
    <t>HS-3113M 0.02 级,0-100A,3表 位一体式结构</t>
  </si>
  <si>
    <t>020133</t>
  </si>
  <si>
    <t>负荷开关检测设备</t>
  </si>
  <si>
    <t>HS-6403MS 0.05 级,0-100A,6表 位</t>
  </si>
  <si>
    <t>020134</t>
  </si>
  <si>
    <t>电源跌落试验装置</t>
  </si>
  <si>
    <t>HS-6418A;电源 影响试验装置</t>
  </si>
  <si>
    <t>020135</t>
  </si>
  <si>
    <t>交流耐压试验装置</t>
  </si>
  <si>
    <t>单相耐压装置, HS-6121</t>
  </si>
  <si>
    <t>020136</t>
  </si>
  <si>
    <t>时钟测试设备</t>
  </si>
  <si>
    <t>HS-1012C,时钟 测试仪,准确度 2*10-7/s</t>
  </si>
  <si>
    <t>020137</t>
  </si>
  <si>
    <t>直流和偶次试验设备</t>
  </si>
  <si>
    <t>HS-1016;直流偶 次谐波测试仪</t>
  </si>
  <si>
    <t>020138</t>
  </si>
  <si>
    <t>功率消耗测试装置</t>
  </si>
  <si>
    <t>HS-1011;功耗测 试仪</t>
  </si>
  <si>
    <t>020139</t>
  </si>
  <si>
    <t>单相老化源</t>
  </si>
  <si>
    <t>HS-6125单相柜 式老化源,电流 10A</t>
  </si>
  <si>
    <t>2024-12-19</t>
  </si>
  <si>
    <t>020140</t>
  </si>
  <si>
    <t>射频传导设备</t>
  </si>
  <si>
    <t>CST 1075</t>
  </si>
  <si>
    <t>020141</t>
  </si>
  <si>
    <t>衰减器</t>
  </si>
  <si>
    <t>AT80</t>
  </si>
  <si>
    <t>020142</t>
  </si>
  <si>
    <t>耦合去耦网络</t>
  </si>
  <si>
    <t>CDN M2M3</t>
  </si>
  <si>
    <t>020143</t>
  </si>
  <si>
    <t>CDN M4N</t>
  </si>
  <si>
    <t>020144</t>
  </si>
  <si>
    <t>CDN M5</t>
  </si>
  <si>
    <t>020145</t>
  </si>
  <si>
    <t>电磁钳</t>
  </si>
  <si>
    <t>EMCL</t>
  </si>
  <si>
    <t>020146</t>
  </si>
  <si>
    <t>耦合去耦网络附件</t>
  </si>
  <si>
    <t>CDN 100KIT</t>
  </si>
  <si>
    <t>020147</t>
  </si>
  <si>
    <t>020148</t>
  </si>
  <si>
    <t>实木测试桌</t>
  </si>
  <si>
    <t>ESD-T</t>
  </si>
  <si>
    <t>020149</t>
  </si>
  <si>
    <t>参考接地板</t>
  </si>
  <si>
    <t>ESD-CD</t>
  </si>
  <si>
    <t>020150</t>
  </si>
  <si>
    <t>操作软件</t>
  </si>
  <si>
    <t>EMC-S/-4-6</t>
  </si>
  <si>
    <t>020151</t>
  </si>
  <si>
    <t>控制电脑</t>
  </si>
  <si>
    <t>PC</t>
  </si>
  <si>
    <t>020152</t>
  </si>
  <si>
    <t>外磁场试验装置</t>
  </si>
  <si>
    <t>MFS 1200 MFT  1200</t>
  </si>
  <si>
    <t>020153</t>
  </si>
  <si>
    <t>工频磁场线圈</t>
  </si>
  <si>
    <t>TCXS 113</t>
  </si>
  <si>
    <t>020154</t>
  </si>
  <si>
    <t>电压跌落 设备（电压暂降和短时中 断试验设备）</t>
  </si>
  <si>
    <t>PFS 3810T1  VVT 3810T1</t>
  </si>
  <si>
    <t>020155</t>
  </si>
  <si>
    <t>衰减振荡波设备</t>
  </si>
  <si>
    <t>DOS 300</t>
  </si>
  <si>
    <t>020156</t>
  </si>
  <si>
    <t>传导差模 电流干扰试验设备</t>
  </si>
  <si>
    <t>RSG 40C10</t>
  </si>
  <si>
    <t>020157</t>
  </si>
  <si>
    <t>宽带隔离变流器</t>
  </si>
  <si>
    <t>WCT 20</t>
  </si>
  <si>
    <t>020158</t>
  </si>
  <si>
    <t>差模电流测试模块</t>
  </si>
  <si>
    <t>RJJF-100</t>
  </si>
  <si>
    <t>020159</t>
  </si>
  <si>
    <t>差模电压 测试模块</t>
  </si>
  <si>
    <t>R419</t>
  </si>
  <si>
    <t>020160</t>
  </si>
  <si>
    <t>微秒脉冲变压器</t>
  </si>
  <si>
    <t>TPT-600-2</t>
  </si>
  <si>
    <t>020161</t>
  </si>
  <si>
    <t>CDN 419M3-32</t>
  </si>
  <si>
    <t>020162</t>
  </si>
  <si>
    <t>CDN 419M4N-32</t>
  </si>
  <si>
    <t>020163</t>
  </si>
  <si>
    <t>冲击电流试验装置</t>
  </si>
  <si>
    <t>ICG  3000(3600A)</t>
  </si>
  <si>
    <t>020164</t>
  </si>
  <si>
    <t>脉冲电压</t>
  </si>
  <si>
    <t>压 VSG 335(12BC)</t>
  </si>
  <si>
    <t>020165</t>
  </si>
  <si>
    <t>交变湿热箱</t>
  </si>
  <si>
    <t>JK-H-80L</t>
  </si>
  <si>
    <t>020166</t>
  </si>
  <si>
    <t>阳光辐射试验装置</t>
  </si>
  <si>
    <t>JK-UV-150</t>
  </si>
  <si>
    <t>020167</t>
  </si>
  <si>
    <t>防尘试验装置</t>
  </si>
  <si>
    <t>JK-SC-600</t>
  </si>
  <si>
    <t>020168</t>
  </si>
  <si>
    <t>防水试验装置</t>
  </si>
  <si>
    <t>JK-IPX34-600</t>
  </si>
  <si>
    <t>020169</t>
  </si>
  <si>
    <t>恒定磁场发生器</t>
  </si>
  <si>
    <t>MTF-400</t>
  </si>
  <si>
    <t>020170</t>
  </si>
  <si>
    <t>IS12DB-48B</t>
  </si>
  <si>
    <t>020171</t>
  </si>
  <si>
    <t>单相多功 能电能表检验装置</t>
  </si>
  <si>
    <t>SYD15C-48</t>
  </si>
  <si>
    <t>020172</t>
  </si>
  <si>
    <t>单相电能 表校验装置</t>
  </si>
  <si>
    <t>020173</t>
  </si>
  <si>
    <t>020174</t>
  </si>
  <si>
    <t>020175</t>
  </si>
  <si>
    <t>能 表检验装置 IS12DB-48B</t>
  </si>
  <si>
    <t>2024-12-31</t>
  </si>
  <si>
    <t>020176</t>
  </si>
  <si>
    <t>振铃波模拟器</t>
  </si>
  <si>
    <t>RWS600</t>
  </si>
  <si>
    <t>020177</t>
  </si>
  <si>
    <t>人工电源网络</t>
  </si>
  <si>
    <t>LISN J50</t>
  </si>
  <si>
    <t>020178</t>
  </si>
  <si>
    <t>锡膏红胶</t>
  </si>
  <si>
    <t>PS-XW-05</t>
  </si>
  <si>
    <t>020179</t>
  </si>
  <si>
    <t>药品冷藏箱</t>
  </si>
  <si>
    <t>YPX</t>
  </si>
  <si>
    <t>020180</t>
  </si>
  <si>
    <t>不锈钢风淋室</t>
  </si>
  <si>
    <t>2000*2000*2100</t>
  </si>
  <si>
    <t>020181</t>
  </si>
  <si>
    <t>锡膏搅拌机</t>
  </si>
  <si>
    <t>ZB500S</t>
  </si>
  <si>
    <t>020182</t>
  </si>
  <si>
    <t>印刷上板机</t>
  </si>
  <si>
    <t>HKFX-S250</t>
  </si>
  <si>
    <t>020183</t>
  </si>
  <si>
    <t>印刷机</t>
  </si>
  <si>
    <t>GSK</t>
  </si>
  <si>
    <t>020184</t>
  </si>
  <si>
    <t>印刷接驳 台</t>
  </si>
  <si>
    <t>CBC-080A</t>
  </si>
  <si>
    <t>020185</t>
  </si>
  <si>
    <t>高速贴片机</t>
  </si>
  <si>
    <t>YSM20R-2</t>
  </si>
  <si>
    <t>020186</t>
  </si>
  <si>
    <t>多功能贴 片机</t>
  </si>
  <si>
    <t>YSM10</t>
  </si>
  <si>
    <t>020187</t>
  </si>
  <si>
    <t>炉前接驳 台</t>
  </si>
  <si>
    <t>SVT-100A</t>
  </si>
  <si>
    <t>020188</t>
  </si>
  <si>
    <t>回流焊下板机</t>
  </si>
  <si>
    <t>HKFX-X250</t>
  </si>
  <si>
    <t>020189</t>
  </si>
  <si>
    <t>AOI</t>
  </si>
  <si>
    <t>VCTA-A410</t>
  </si>
  <si>
    <t>020190</t>
  </si>
  <si>
    <t>插件机上 板机</t>
  </si>
  <si>
    <t>020191</t>
  </si>
  <si>
    <t>自动插件 机</t>
  </si>
  <si>
    <t>RZD-S</t>
  </si>
  <si>
    <t>020192</t>
  </si>
  <si>
    <t>020193</t>
  </si>
  <si>
    <t>插件线</t>
  </si>
  <si>
    <t>020194</t>
  </si>
  <si>
    <t>波峰焊</t>
  </si>
  <si>
    <t>MPS-350-II</t>
  </si>
  <si>
    <t>020195</t>
  </si>
  <si>
    <t>波峰焊下 板机</t>
  </si>
  <si>
    <t>0UC-400A</t>
  </si>
  <si>
    <t>020196</t>
  </si>
  <si>
    <t>炉温测试 仪</t>
  </si>
  <si>
    <t>KIC-2000</t>
  </si>
  <si>
    <t>020197</t>
  </si>
  <si>
    <t>进板接驳台</t>
  </si>
  <si>
    <t>JB-800</t>
  </si>
  <si>
    <t>020198</t>
  </si>
  <si>
    <t>涂覆机</t>
  </si>
  <si>
    <t>JMC-450-5</t>
  </si>
  <si>
    <t>020199</t>
  </si>
  <si>
    <t>密封检查台</t>
  </si>
  <si>
    <t>JT-800</t>
  </si>
  <si>
    <t>020200</t>
  </si>
  <si>
    <t>红外固化 炉</t>
  </si>
  <si>
    <t>IR-3000</t>
  </si>
  <si>
    <t>020201</t>
  </si>
  <si>
    <t>炉后接驳 台</t>
  </si>
  <si>
    <t>JB-800A</t>
  </si>
  <si>
    <t>020202</t>
  </si>
  <si>
    <t>治具</t>
  </si>
  <si>
    <t>定制</t>
  </si>
  <si>
    <t>020203</t>
  </si>
  <si>
    <t>在线SPI光学检查机</t>
  </si>
  <si>
    <t>劲拓JUTI-L</t>
  </si>
  <si>
    <t>020204</t>
  </si>
  <si>
    <t>全自动分板机</t>
  </si>
  <si>
    <t>HK-360SD</t>
  </si>
  <si>
    <t>020205</t>
  </si>
  <si>
    <t>sel-pot400</t>
  </si>
  <si>
    <t>020206</t>
  </si>
  <si>
    <t>回流焊</t>
  </si>
  <si>
    <t>KTR-1000-N</t>
  </si>
  <si>
    <t>020207</t>
  </si>
  <si>
    <t>清洗烘干机</t>
  </si>
  <si>
    <t>K-1800</t>
  </si>
  <si>
    <t>器具工具家具等</t>
  </si>
  <si>
    <t>020095</t>
  </si>
  <si>
    <t>移动空调</t>
  </si>
  <si>
    <t>KYR-40/NARA1B(灰）</t>
  </si>
  <si>
    <t>2021-08-01</t>
  </si>
  <si>
    <t>030001</t>
  </si>
  <si>
    <t>环形线圈绕线机</t>
  </si>
  <si>
    <t>5年</t>
  </si>
  <si>
    <t>3年4月</t>
  </si>
  <si>
    <t>2023-01-05</t>
  </si>
  <si>
    <t>030002</t>
  </si>
  <si>
    <t>2021-09-01</t>
  </si>
  <si>
    <t>030003</t>
  </si>
  <si>
    <t>单项电能表检验装置</t>
  </si>
  <si>
    <t>3年5月</t>
  </si>
  <si>
    <t>030004</t>
  </si>
  <si>
    <t>2021-12-01</t>
  </si>
  <si>
    <t>030005</t>
  </si>
  <si>
    <t>四轴吸附式自动锁螺丝机</t>
  </si>
  <si>
    <t>3年</t>
  </si>
  <si>
    <t>2019-07-01</t>
  </si>
  <si>
    <t>030006</t>
  </si>
  <si>
    <t>柔性罗氏线圈绕线机</t>
  </si>
  <si>
    <t>4年</t>
  </si>
  <si>
    <t>2022-03-01</t>
  </si>
  <si>
    <t>030007</t>
  </si>
  <si>
    <t>贴片机（康普特）</t>
  </si>
  <si>
    <t>2年9月</t>
  </si>
  <si>
    <t>2022-06-01</t>
  </si>
  <si>
    <t>030008</t>
  </si>
  <si>
    <t>单相老化车HS-6125</t>
  </si>
  <si>
    <t>2年6月</t>
  </si>
  <si>
    <t>030009</t>
  </si>
  <si>
    <t>恒温恒湿试验箱</t>
  </si>
  <si>
    <t>030010</t>
  </si>
  <si>
    <t>悬臂梁冲击试验机</t>
  </si>
  <si>
    <t>030011</t>
  </si>
  <si>
    <t>灼热丝试验机</t>
  </si>
  <si>
    <t>2022-07-01</t>
  </si>
  <si>
    <t>030012</t>
  </si>
  <si>
    <t>电源（费思）</t>
  </si>
  <si>
    <t>2022-08-01</t>
  </si>
  <si>
    <t>2年5月</t>
  </si>
  <si>
    <t>030013</t>
  </si>
  <si>
    <t>交直流耐压绝缘测试仪</t>
  </si>
  <si>
    <t>030014</t>
  </si>
  <si>
    <t>触屏盐雾试验机</t>
  </si>
  <si>
    <t>030015</t>
  </si>
  <si>
    <t>三轴电磁振动台</t>
  </si>
  <si>
    <t>030016</t>
  </si>
  <si>
    <t>数字示波器</t>
  </si>
  <si>
    <t>MS05354</t>
  </si>
  <si>
    <t>030017</t>
  </si>
  <si>
    <t>多功能抗扰度测试仪</t>
  </si>
  <si>
    <t>EMC S03-W</t>
  </si>
  <si>
    <t>2022-09-01</t>
  </si>
  <si>
    <t>2年4月</t>
  </si>
  <si>
    <t>030018</t>
  </si>
  <si>
    <t>光纤激光打标机</t>
  </si>
  <si>
    <t>WF-IP-30W</t>
  </si>
  <si>
    <t>030019</t>
  </si>
  <si>
    <t>办公家具</t>
  </si>
  <si>
    <t>班台、员工位、财务桌、矮柜、会议桌、书柜、茶水柜、茶几、沙发、椅子</t>
  </si>
  <si>
    <t>行政部</t>
  </si>
  <si>
    <t>2年3月</t>
  </si>
  <si>
    <t>2022-02-01</t>
  </si>
  <si>
    <t>030020</t>
  </si>
  <si>
    <t>飞达车</t>
  </si>
  <si>
    <t>2年10月</t>
  </si>
  <si>
    <t>030021</t>
  </si>
  <si>
    <t>030022</t>
  </si>
  <si>
    <t>飞达</t>
  </si>
  <si>
    <t>030023</t>
  </si>
  <si>
    <t>数字示波器/高压探头</t>
  </si>
  <si>
    <t>DS1102Z-E</t>
  </si>
  <si>
    <t>030024</t>
  </si>
  <si>
    <t>办公家具一批</t>
  </si>
  <si>
    <t>旧</t>
  </si>
  <si>
    <t>2022-10-01</t>
  </si>
  <si>
    <t>030025</t>
  </si>
  <si>
    <t>办公电脑桌</t>
  </si>
  <si>
    <t>2022-11-01</t>
  </si>
  <si>
    <t>2年2月</t>
  </si>
  <si>
    <t>030026</t>
  </si>
  <si>
    <t>防静电工作台</t>
  </si>
  <si>
    <t>2年1月</t>
  </si>
  <si>
    <t>030027</t>
  </si>
  <si>
    <t>办公桌</t>
  </si>
  <si>
    <t>030028</t>
  </si>
  <si>
    <t>可编程直流电子负载</t>
  </si>
  <si>
    <t>030029</t>
  </si>
  <si>
    <t>2022-12-31</t>
  </si>
  <si>
    <t>030030</t>
  </si>
  <si>
    <t>普源数字示波器</t>
  </si>
  <si>
    <t>2年</t>
  </si>
  <si>
    <t>030031</t>
  </si>
  <si>
    <t>金属工作台</t>
  </si>
  <si>
    <t>2023-01-31</t>
  </si>
  <si>
    <t>030033</t>
  </si>
  <si>
    <t>KEPCO单相电能表透明窗模具</t>
  </si>
  <si>
    <t>1年11月</t>
  </si>
  <si>
    <t>030034</t>
  </si>
  <si>
    <t>KEPCO单相电能表按钮护盖模具</t>
  </si>
  <si>
    <t>030035</t>
  </si>
  <si>
    <t>KEPCP单相电能表底壳后盖模具</t>
  </si>
  <si>
    <t>030036</t>
  </si>
  <si>
    <t>KEPCO单相电能表底壳模具</t>
  </si>
  <si>
    <t>030037</t>
  </si>
  <si>
    <t>KEPCO单相电能面面壳模具</t>
  </si>
  <si>
    <t>030038</t>
  </si>
  <si>
    <t>遮阳罩、端钮盖二合一简易模具</t>
  </si>
  <si>
    <t>030044</t>
  </si>
  <si>
    <t>空调及风机安装工程</t>
  </si>
  <si>
    <t>030045</t>
  </si>
  <si>
    <t>设备款（电梯）</t>
  </si>
  <si>
    <t>030046</t>
  </si>
  <si>
    <t>家具</t>
  </si>
  <si>
    <t>030047</t>
  </si>
  <si>
    <t>030048</t>
  </si>
  <si>
    <t>洗衣机</t>
  </si>
  <si>
    <t>030049</t>
  </si>
  <si>
    <t>空调</t>
  </si>
  <si>
    <t>030064</t>
  </si>
  <si>
    <t>大金中央空调</t>
  </si>
  <si>
    <t>030089</t>
  </si>
  <si>
    <t>美的空调</t>
  </si>
  <si>
    <t>120QW</t>
  </si>
  <si>
    <t>运输工具</t>
  </si>
  <si>
    <t>040001</t>
  </si>
  <si>
    <t>起亚MPV</t>
  </si>
  <si>
    <t>运营部</t>
  </si>
  <si>
    <t>电子设备</t>
  </si>
  <si>
    <t>020074</t>
  </si>
  <si>
    <t>联想笔记本</t>
  </si>
  <si>
    <t>2022-01-01</t>
  </si>
  <si>
    <t>050001</t>
  </si>
  <si>
    <t>华为笔记本-工程部</t>
  </si>
  <si>
    <t>2年11月</t>
  </si>
  <si>
    <t>050002</t>
  </si>
  <si>
    <t>爱普生L617多功能打印机</t>
  </si>
  <si>
    <t>050003</t>
  </si>
  <si>
    <t>电脑液晶显示器AG493UCX</t>
  </si>
  <si>
    <t>050004</t>
  </si>
  <si>
    <t>台式电脑</t>
  </si>
  <si>
    <t>2022-05-01</t>
  </si>
  <si>
    <t>050005</t>
  </si>
  <si>
    <t>华为笔记本电脑</t>
  </si>
  <si>
    <t>2年7月</t>
  </si>
  <si>
    <t>050006</t>
  </si>
  <si>
    <t>戴尔电脑</t>
  </si>
  <si>
    <t>050007</t>
  </si>
  <si>
    <t>惠普电脑</t>
  </si>
  <si>
    <t>050008</t>
  </si>
  <si>
    <t>小米电视机</t>
  </si>
  <si>
    <t>050009</t>
  </si>
  <si>
    <t>050010</t>
  </si>
  <si>
    <t>联想笔记本电脑</t>
  </si>
  <si>
    <t>ThinkBook 14</t>
  </si>
  <si>
    <t>050011</t>
  </si>
  <si>
    <t>爱普生打印复印扫描一体机（阿柴用）</t>
  </si>
  <si>
    <t>L4268</t>
  </si>
  <si>
    <t>050012</t>
  </si>
  <si>
    <t>京东-小米电视一台（阿柴用）</t>
  </si>
  <si>
    <t>050013</t>
  </si>
  <si>
    <t>台式机五台</t>
  </si>
  <si>
    <t>050014</t>
  </si>
  <si>
    <t>戴尔显示器</t>
  </si>
  <si>
    <t>050015</t>
  </si>
  <si>
    <t>AOC显示器</t>
  </si>
  <si>
    <t>050016</t>
  </si>
  <si>
    <t>惠普Z440主机</t>
  </si>
  <si>
    <t>050017</t>
  </si>
  <si>
    <t>得力碎纸机</t>
  </si>
  <si>
    <t>090032</t>
  </si>
  <si>
    <t>戴尔电子计算机</t>
  </si>
  <si>
    <t>090041</t>
  </si>
  <si>
    <t>RS5032</t>
  </si>
  <si>
    <t>2023-06-30</t>
  </si>
  <si>
    <t>090042</t>
  </si>
  <si>
    <t>可编程多功能直流电源</t>
  </si>
  <si>
    <t>HY-PM 10-520-L</t>
  </si>
  <si>
    <t>1年6月</t>
  </si>
  <si>
    <t>2023-09-30</t>
  </si>
  <si>
    <t>090057</t>
  </si>
  <si>
    <t>1年3月</t>
  </si>
  <si>
    <t>090058</t>
  </si>
  <si>
    <t>振动测试台</t>
  </si>
  <si>
    <t>090062</t>
  </si>
  <si>
    <t>台式万用表</t>
  </si>
  <si>
    <t>DMM6500</t>
  </si>
  <si>
    <t>090063</t>
  </si>
  <si>
    <t>电工仪器仪表</t>
  </si>
  <si>
    <t>IT8813C</t>
  </si>
  <si>
    <t>090086</t>
  </si>
  <si>
    <t>电脑</t>
  </si>
  <si>
    <t>090087</t>
  </si>
  <si>
    <t>090088</t>
  </si>
  <si>
    <t>戴尔R730XD</t>
  </si>
  <si>
    <t>090090</t>
  </si>
  <si>
    <t>090091</t>
  </si>
  <si>
    <t>090093</t>
  </si>
  <si>
    <t>笔记本电脑</t>
  </si>
  <si>
    <t>戴尔VOS15</t>
  </si>
  <si>
    <t>090096</t>
  </si>
  <si>
    <t>组装机</t>
  </si>
  <si>
    <t>090097</t>
  </si>
  <si>
    <t>通用电子测量仪器</t>
  </si>
  <si>
    <t>TH1963</t>
  </si>
  <si>
    <t>090103</t>
  </si>
  <si>
    <t>华硕组装机</t>
  </si>
  <si>
    <t>090104</t>
  </si>
  <si>
    <t>090105</t>
  </si>
  <si>
    <t>090119</t>
  </si>
  <si>
    <t>AOC显示器+电脑主机</t>
  </si>
  <si>
    <t>CU34P2C</t>
  </si>
  <si>
    <t>090121</t>
  </si>
  <si>
    <t>华为D15</t>
  </si>
  <si>
    <t>1月</t>
  </si>
  <si>
    <t>090123</t>
  </si>
  <si>
    <t>频谱分析仪</t>
  </si>
  <si>
    <t>090124</t>
  </si>
  <si>
    <t>液晶显示器</t>
  </si>
  <si>
    <t>090125</t>
  </si>
  <si>
    <t>D15</t>
  </si>
  <si>
    <t>项目部</t>
  </si>
  <si>
    <t>090126</t>
  </si>
  <si>
    <t>曲面丝印机</t>
  </si>
  <si>
    <t>090208</t>
  </si>
  <si>
    <t>二手笔记本</t>
  </si>
  <si>
    <t>090209</t>
  </si>
  <si>
    <t>090210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</si>
</sst>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_ \¥* #,##0_ ;_ \¥* \-#,##0_ ;_ \¥* &quot;-&quot;_ ;_ @_ "/>
  </numFmts>
  <fonts count="22">
    <font>
      <sz val="10"/>
      <name val="Arial"/>
      <charset val="134"/>
    </font>
    <font>
      <b/>
      <sz val="9"/>
      <color rgb="FF000000"/>
      <name val="Verdan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2" borderId="7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53" applyFont="1" applyFill="1" applyBorder="1" applyAlignment="1">
      <alignment horizontal="center"/>
    </xf>
    <xf numFmtId="1" fontId="1" fillId="2" borderId="1" xfId="53" applyNumberFormat="1" applyFont="1" applyFill="1" applyBorder="1" applyAlignment="1">
      <alignment horizontal="center"/>
    </xf>
    <xf numFmtId="0" fontId="0" fillId="0" borderId="2" xfId="53" applyFont="1" applyBorder="1"/>
    <xf numFmtId="1" fontId="1" fillId="2" borderId="0" xfId="53" applyNumberFormat="1" applyFont="1" applyFill="1" applyAlignment="1">
      <alignment horizontal="center"/>
    </xf>
    <xf numFmtId="14" fontId="0" fillId="0" borderId="0" xfId="0" applyNumberFormat="1"/>
    <xf numFmtId="4" fontId="0" fillId="0" borderId="2" xfId="53" applyNumberFormat="1" applyFont="1" applyBorder="1"/>
    <xf numFmtId="4" fontId="0" fillId="0" borderId="0" xfId="53" applyNumberFormat="1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8"/>
  <sheetViews>
    <sheetView tabSelected="1" topLeftCell="F162" workbookViewId="0">
      <selection activeCell="K194" sqref="K194"/>
    </sheetView>
  </sheetViews>
  <sheetFormatPr defaultColWidth="9.15315315315315" defaultRowHeight="12.4"/>
  <cols>
    <col min="1" max="1" width="10.3783783783784" customWidth="1"/>
    <col min="2" max="2" width="17" customWidth="1"/>
    <col min="3" max="3" width="8.69369369369369" customWidth="1"/>
    <col min="4" max="6" width="32.3783783783784" customWidth="1"/>
    <col min="7" max="7" width="48.3783783783784" customWidth="1"/>
    <col min="8" max="8" width="5.30630630630631" customWidth="1"/>
    <col min="9" max="9" width="8.69369369369369" customWidth="1"/>
    <col min="10" max="10" width="13.045045045045" customWidth="1"/>
    <col min="11" max="11" width="16.0540540540541" customWidth="1"/>
    <col min="12" max="14" width="12.1531531531532" customWidth="1"/>
    <col min="15" max="15" width="10.3783783783784" customWidth="1"/>
    <col min="16" max="16" width="13.963963963964" customWidth="1"/>
    <col min="17" max="17" width="13.3063063063063" customWidth="1"/>
    <col min="18" max="18" width="12" customWidth="1"/>
    <col min="19" max="19" width="19.5315315315315" customWidth="1"/>
    <col min="20" max="20" width="9.37837837837838" customWidth="1"/>
    <col min="21" max="22" width="10.3783783783784" customWidth="1"/>
    <col min="23" max="23" width="19.3783783783784" customWidth="1"/>
    <col min="24" max="24" width="24.7837837837838" customWidth="1"/>
    <col min="25" max="25" width="26.6396396396396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4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" t="s">
        <v>19</v>
      </c>
      <c r="V1" s="2" t="s">
        <v>20</v>
      </c>
      <c r="W1" t="s">
        <v>21</v>
      </c>
      <c r="X1" t="s">
        <v>22</v>
      </c>
      <c r="Y1" t="s">
        <v>23</v>
      </c>
    </row>
    <row r="2" spans="1: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tr">
        <f>C2&amp;E2&amp;D2&amp;E2&amp;G2&amp;E2&amp;H2</f>
        <v>020040-模具-amigo单相表模具-1</v>
      </c>
      <c r="G2" t="s">
        <v>29</v>
      </c>
      <c r="H2" s="3">
        <v>1</v>
      </c>
      <c r="I2" t="s">
        <v>30</v>
      </c>
      <c r="J2" t="s">
        <v>24</v>
      </c>
      <c r="K2" s="5">
        <v>45078</v>
      </c>
      <c r="L2" t="s">
        <v>31</v>
      </c>
      <c r="M2">
        <v>120</v>
      </c>
      <c r="N2">
        <v>1</v>
      </c>
      <c r="O2" t="s">
        <v>32</v>
      </c>
      <c r="P2" s="6">
        <v>230088.5</v>
      </c>
      <c r="Q2" s="6">
        <v>32787.54</v>
      </c>
      <c r="R2" s="6">
        <v>197300.96</v>
      </c>
      <c r="S2" s="6">
        <v>23008.85</v>
      </c>
      <c r="T2" s="6">
        <v>1725.66</v>
      </c>
      <c r="U2" t="s">
        <v>24</v>
      </c>
      <c r="V2" s="6">
        <v>32787.54</v>
      </c>
      <c r="W2">
        <v>160102</v>
      </c>
      <c r="X2">
        <v>160202</v>
      </c>
      <c r="Y2">
        <v>56021701</v>
      </c>
    </row>
    <row r="3" spans="1:25">
      <c r="A3" t="s">
        <v>33</v>
      </c>
      <c r="B3" t="s">
        <v>25</v>
      </c>
      <c r="C3" t="s">
        <v>34</v>
      </c>
      <c r="D3" t="s">
        <v>35</v>
      </c>
      <c r="E3" t="s">
        <v>28</v>
      </c>
      <c r="F3" t="str">
        <f t="shared" ref="F3:F66" si="0">C3&amp;E3&amp;D3&amp;E3&amp;G3&amp;E3&amp;H3</f>
        <v>020043-装配流水线--1</v>
      </c>
      <c r="H3">
        <v>1</v>
      </c>
      <c r="I3" t="s">
        <v>36</v>
      </c>
      <c r="J3" t="s">
        <v>33</v>
      </c>
      <c r="K3" s="5">
        <v>45139</v>
      </c>
      <c r="L3" t="s">
        <v>31</v>
      </c>
      <c r="M3">
        <v>120</v>
      </c>
      <c r="N3">
        <v>1</v>
      </c>
      <c r="O3" t="s">
        <v>37</v>
      </c>
      <c r="P3" s="7">
        <v>35398.23</v>
      </c>
      <c r="Q3" s="7">
        <v>4513.33</v>
      </c>
      <c r="R3" s="7">
        <v>30884.9</v>
      </c>
      <c r="S3" s="7">
        <v>3539.82</v>
      </c>
      <c r="T3" s="7">
        <v>265.49</v>
      </c>
      <c r="U3" t="s">
        <v>33</v>
      </c>
      <c r="V3" s="7">
        <v>4513.33</v>
      </c>
      <c r="W3">
        <v>160102</v>
      </c>
      <c r="X3">
        <v>160202</v>
      </c>
      <c r="Y3">
        <v>410102</v>
      </c>
    </row>
    <row r="4" spans="1:25">
      <c r="A4" t="s">
        <v>38</v>
      </c>
      <c r="B4" t="s">
        <v>25</v>
      </c>
      <c r="C4" t="s">
        <v>39</v>
      </c>
      <c r="D4" t="s">
        <v>40</v>
      </c>
      <c r="E4" t="s">
        <v>28</v>
      </c>
      <c r="F4" t="str">
        <f t="shared" si="0"/>
        <v>020050-单相电能表检验装置-HS-6103D分体式精度0.05%-1</v>
      </c>
      <c r="G4" t="s">
        <v>41</v>
      </c>
      <c r="H4">
        <v>1</v>
      </c>
      <c r="I4" t="s">
        <v>36</v>
      </c>
      <c r="J4" t="s">
        <v>38</v>
      </c>
      <c r="K4" s="5">
        <v>45170</v>
      </c>
      <c r="L4" t="s">
        <v>31</v>
      </c>
      <c r="M4">
        <v>120</v>
      </c>
      <c r="N4">
        <v>1</v>
      </c>
      <c r="O4" t="s">
        <v>42</v>
      </c>
      <c r="P4" s="7">
        <v>85840.71</v>
      </c>
      <c r="Q4" s="7">
        <v>10300.96</v>
      </c>
      <c r="R4" s="7">
        <v>75539.75</v>
      </c>
      <c r="S4" s="7">
        <v>8584.07</v>
      </c>
      <c r="T4" s="7">
        <v>643.81</v>
      </c>
      <c r="U4" t="s">
        <v>38</v>
      </c>
      <c r="V4" s="7">
        <v>10300.96</v>
      </c>
      <c r="W4">
        <v>160102</v>
      </c>
      <c r="X4">
        <v>160202</v>
      </c>
      <c r="Y4">
        <v>410102</v>
      </c>
    </row>
    <row r="5" spans="1:25">
      <c r="A5" t="s">
        <v>38</v>
      </c>
      <c r="B5" t="s">
        <v>25</v>
      </c>
      <c r="C5" t="s">
        <v>43</v>
      </c>
      <c r="D5" t="s">
        <v>44</v>
      </c>
      <c r="E5" t="s">
        <v>28</v>
      </c>
      <c r="F5" t="str">
        <f t="shared" si="0"/>
        <v>020051-调表软件--1</v>
      </c>
      <c r="H5">
        <v>1</v>
      </c>
      <c r="I5" t="s">
        <v>36</v>
      </c>
      <c r="J5" t="s">
        <v>38</v>
      </c>
      <c r="K5" s="5">
        <v>45170</v>
      </c>
      <c r="L5" t="s">
        <v>31</v>
      </c>
      <c r="M5">
        <v>120</v>
      </c>
      <c r="N5">
        <v>1</v>
      </c>
      <c r="O5" t="s">
        <v>42</v>
      </c>
      <c r="P5" s="7">
        <v>28141.6</v>
      </c>
      <c r="Q5" s="7">
        <v>3376.96</v>
      </c>
      <c r="R5" s="7">
        <v>24764.64</v>
      </c>
      <c r="S5" s="7">
        <v>2814.16</v>
      </c>
      <c r="T5" s="7">
        <v>211.06</v>
      </c>
      <c r="U5" t="s">
        <v>38</v>
      </c>
      <c r="V5" s="7">
        <v>3376.96</v>
      </c>
      <c r="W5">
        <v>160102</v>
      </c>
      <c r="X5">
        <v>160202</v>
      </c>
      <c r="Y5">
        <v>410102</v>
      </c>
    </row>
    <row r="6" spans="1:25">
      <c r="A6" t="s">
        <v>38</v>
      </c>
      <c r="B6" t="s">
        <v>25</v>
      </c>
      <c r="C6" t="s">
        <v>45</v>
      </c>
      <c r="D6" t="s">
        <v>40</v>
      </c>
      <c r="E6" t="s">
        <v>28</v>
      </c>
      <c r="F6" t="str">
        <f t="shared" si="0"/>
        <v>020052-单相电能表检验装置-HS-6103D分体式精度0.05%-1</v>
      </c>
      <c r="G6" t="s">
        <v>41</v>
      </c>
      <c r="H6">
        <v>1</v>
      </c>
      <c r="I6" t="s">
        <v>36</v>
      </c>
      <c r="J6" t="s">
        <v>38</v>
      </c>
      <c r="K6" s="5">
        <v>45170</v>
      </c>
      <c r="L6" t="s">
        <v>31</v>
      </c>
      <c r="M6">
        <v>120</v>
      </c>
      <c r="N6">
        <v>1</v>
      </c>
      <c r="O6" t="s">
        <v>42</v>
      </c>
      <c r="P6" s="7">
        <v>100000</v>
      </c>
      <c r="Q6" s="7">
        <v>12000</v>
      </c>
      <c r="R6" s="7">
        <v>88000</v>
      </c>
      <c r="S6" s="7">
        <v>10000</v>
      </c>
      <c r="T6" s="7">
        <v>750</v>
      </c>
      <c r="U6" t="s">
        <v>38</v>
      </c>
      <c r="V6" s="7">
        <v>12000</v>
      </c>
      <c r="W6">
        <v>160102</v>
      </c>
      <c r="X6">
        <v>160202</v>
      </c>
      <c r="Y6">
        <v>410102</v>
      </c>
    </row>
    <row r="7" spans="1:25">
      <c r="A7" t="s">
        <v>38</v>
      </c>
      <c r="B7" t="s">
        <v>25</v>
      </c>
      <c r="C7" t="s">
        <v>46</v>
      </c>
      <c r="D7" t="s">
        <v>47</v>
      </c>
      <c r="E7" t="s">
        <v>28</v>
      </c>
      <c r="F7" t="str">
        <f t="shared" si="0"/>
        <v>020053-单相电能表检验装置（导轨表）-HS-61023D  12表位一体台架  导轨表用-1</v>
      </c>
      <c r="G7" t="s">
        <v>48</v>
      </c>
      <c r="H7">
        <v>1</v>
      </c>
      <c r="I7" t="s">
        <v>36</v>
      </c>
      <c r="J7" t="s">
        <v>38</v>
      </c>
      <c r="K7" s="5">
        <v>45170</v>
      </c>
      <c r="L7" t="s">
        <v>31</v>
      </c>
      <c r="M7">
        <v>120</v>
      </c>
      <c r="N7">
        <v>1</v>
      </c>
      <c r="O7" t="s">
        <v>42</v>
      </c>
      <c r="P7" s="7">
        <v>39823.01</v>
      </c>
      <c r="Q7" s="7">
        <v>4778.72</v>
      </c>
      <c r="R7" s="7">
        <v>35044.29</v>
      </c>
      <c r="S7" s="7">
        <v>3982.3</v>
      </c>
      <c r="T7" s="7">
        <v>298.67</v>
      </c>
      <c r="U7" t="s">
        <v>38</v>
      </c>
      <c r="V7" s="7">
        <v>4778.72</v>
      </c>
      <c r="W7">
        <v>160102</v>
      </c>
      <c r="X7">
        <v>160202</v>
      </c>
      <c r="Y7">
        <v>410102</v>
      </c>
    </row>
    <row r="8" spans="1:25">
      <c r="A8" t="s">
        <v>38</v>
      </c>
      <c r="B8" t="s">
        <v>25</v>
      </c>
      <c r="C8" t="s">
        <v>49</v>
      </c>
      <c r="D8" t="s">
        <v>50</v>
      </c>
      <c r="E8" t="s">
        <v>28</v>
      </c>
      <c r="F8" t="str">
        <f t="shared" si="0"/>
        <v>020054-调试专机-自动化专机-1</v>
      </c>
      <c r="G8" t="s">
        <v>51</v>
      </c>
      <c r="H8">
        <v>1</v>
      </c>
      <c r="I8" t="s">
        <v>36</v>
      </c>
      <c r="J8" t="s">
        <v>38</v>
      </c>
      <c r="K8" s="5">
        <v>45170</v>
      </c>
      <c r="L8" t="s">
        <v>31</v>
      </c>
      <c r="M8">
        <v>120</v>
      </c>
      <c r="N8">
        <v>1</v>
      </c>
      <c r="O8" t="s">
        <v>42</v>
      </c>
      <c r="P8" s="7">
        <v>300884.96</v>
      </c>
      <c r="Q8" s="7">
        <v>36106.24</v>
      </c>
      <c r="R8" s="7">
        <v>264778.72</v>
      </c>
      <c r="S8" s="7">
        <v>30088.5</v>
      </c>
      <c r="T8" s="7">
        <v>2256.64</v>
      </c>
      <c r="U8" t="s">
        <v>38</v>
      </c>
      <c r="V8" s="7">
        <v>36106.24</v>
      </c>
      <c r="W8">
        <v>160102</v>
      </c>
      <c r="X8">
        <v>160202</v>
      </c>
      <c r="Y8">
        <v>410102</v>
      </c>
    </row>
    <row r="9" spans="1:25">
      <c r="A9" t="s">
        <v>38</v>
      </c>
      <c r="B9" t="s">
        <v>25</v>
      </c>
      <c r="C9" t="s">
        <v>52</v>
      </c>
      <c r="D9" t="s">
        <v>27</v>
      </c>
      <c r="E9" t="s">
        <v>28</v>
      </c>
      <c r="F9" t="str">
        <f t="shared" si="0"/>
        <v>020055-模具-MIAIAMIGO-1</v>
      </c>
      <c r="G9" t="s">
        <v>53</v>
      </c>
      <c r="H9">
        <v>1</v>
      </c>
      <c r="I9" t="s">
        <v>30</v>
      </c>
      <c r="J9" t="s">
        <v>38</v>
      </c>
      <c r="K9" s="5">
        <v>45170</v>
      </c>
      <c r="L9" t="s">
        <v>31</v>
      </c>
      <c r="M9">
        <v>120</v>
      </c>
      <c r="N9">
        <v>1</v>
      </c>
      <c r="O9" t="s">
        <v>42</v>
      </c>
      <c r="P9" s="7">
        <v>115929.2</v>
      </c>
      <c r="Q9" s="7">
        <v>13911.52</v>
      </c>
      <c r="R9" s="7">
        <v>102017.68</v>
      </c>
      <c r="S9" s="7">
        <v>11592.92</v>
      </c>
      <c r="T9" s="7">
        <v>869.47</v>
      </c>
      <c r="U9" t="s">
        <v>38</v>
      </c>
      <c r="V9" s="7">
        <v>13911.52</v>
      </c>
      <c r="W9">
        <v>160102</v>
      </c>
      <c r="X9">
        <v>160202</v>
      </c>
      <c r="Y9">
        <v>56021701</v>
      </c>
    </row>
    <row r="10" spans="1:25">
      <c r="A10" t="s">
        <v>38</v>
      </c>
      <c r="B10" t="s">
        <v>25</v>
      </c>
      <c r="C10" t="s">
        <v>54</v>
      </c>
      <c r="D10" t="s">
        <v>27</v>
      </c>
      <c r="E10" t="s">
        <v>28</v>
      </c>
      <c r="F10" t="str">
        <f t="shared" si="0"/>
        <v>020056-模具-DCU面板模具-1</v>
      </c>
      <c r="G10" t="s">
        <v>55</v>
      </c>
      <c r="H10">
        <v>1</v>
      </c>
      <c r="I10" t="s">
        <v>30</v>
      </c>
      <c r="J10" t="s">
        <v>38</v>
      </c>
      <c r="K10" s="5">
        <v>45170</v>
      </c>
      <c r="L10" t="s">
        <v>31</v>
      </c>
      <c r="M10">
        <v>120</v>
      </c>
      <c r="N10">
        <v>1</v>
      </c>
      <c r="O10" t="s">
        <v>42</v>
      </c>
      <c r="P10" s="7">
        <v>7079.65</v>
      </c>
      <c r="Q10" s="7">
        <v>849.6</v>
      </c>
      <c r="R10" s="7">
        <v>6230.05</v>
      </c>
      <c r="S10" s="7">
        <v>707.97</v>
      </c>
      <c r="T10" s="7">
        <v>53.1</v>
      </c>
      <c r="U10" t="s">
        <v>38</v>
      </c>
      <c r="V10" s="7">
        <v>849.6</v>
      </c>
      <c r="W10">
        <v>160102</v>
      </c>
      <c r="X10">
        <v>160202</v>
      </c>
      <c r="Y10">
        <v>56021701</v>
      </c>
    </row>
    <row r="11" spans="1:25">
      <c r="A11" t="s">
        <v>56</v>
      </c>
      <c r="B11" t="s">
        <v>25</v>
      </c>
      <c r="C11" t="s">
        <v>57</v>
      </c>
      <c r="D11" t="s">
        <v>27</v>
      </c>
      <c r="E11" t="s">
        <v>28</v>
      </c>
      <c r="F11" t="str">
        <f t="shared" si="0"/>
        <v>020059-模具-CNU模具-1</v>
      </c>
      <c r="G11" t="s">
        <v>58</v>
      </c>
      <c r="H11">
        <v>1</v>
      </c>
      <c r="I11" t="s">
        <v>36</v>
      </c>
      <c r="J11" t="s">
        <v>56</v>
      </c>
      <c r="K11" s="5">
        <v>45231</v>
      </c>
      <c r="L11" t="s">
        <v>31</v>
      </c>
      <c r="M11">
        <v>120</v>
      </c>
      <c r="N11">
        <v>1</v>
      </c>
      <c r="O11" t="s">
        <v>59</v>
      </c>
      <c r="P11" s="7">
        <v>212389.37</v>
      </c>
      <c r="Q11" s="7">
        <v>22300.88</v>
      </c>
      <c r="R11" s="7">
        <v>190088.49</v>
      </c>
      <c r="S11" s="7">
        <v>21238.94</v>
      </c>
      <c r="T11" s="7">
        <v>1592.92</v>
      </c>
      <c r="U11" t="s">
        <v>56</v>
      </c>
      <c r="V11" s="7">
        <v>22300.88</v>
      </c>
      <c r="W11">
        <v>160102</v>
      </c>
      <c r="X11">
        <v>160202</v>
      </c>
      <c r="Y11">
        <v>410102</v>
      </c>
    </row>
    <row r="12" spans="1:25">
      <c r="A12" t="s">
        <v>56</v>
      </c>
      <c r="B12" t="s">
        <v>25</v>
      </c>
      <c r="C12" t="s">
        <v>60</v>
      </c>
      <c r="D12" t="s">
        <v>27</v>
      </c>
      <c r="E12" t="s">
        <v>28</v>
      </c>
      <c r="F12" t="str">
        <f t="shared" si="0"/>
        <v>020060-模具-CNU简单模具-1</v>
      </c>
      <c r="G12" t="s">
        <v>61</v>
      </c>
      <c r="H12">
        <v>1</v>
      </c>
      <c r="I12" t="s">
        <v>36</v>
      </c>
      <c r="J12" t="s">
        <v>56</v>
      </c>
      <c r="K12" s="5">
        <v>45231</v>
      </c>
      <c r="L12" t="s">
        <v>31</v>
      </c>
      <c r="M12">
        <v>120</v>
      </c>
      <c r="N12">
        <v>1</v>
      </c>
      <c r="O12" t="s">
        <v>59</v>
      </c>
      <c r="P12" s="7">
        <v>22123.89</v>
      </c>
      <c r="Q12" s="7">
        <v>2323.02</v>
      </c>
      <c r="R12" s="7">
        <v>19800.87</v>
      </c>
      <c r="S12" s="7">
        <v>2212.39</v>
      </c>
      <c r="T12" s="7">
        <v>165.93</v>
      </c>
      <c r="U12" t="s">
        <v>56</v>
      </c>
      <c r="V12" s="7">
        <v>2323.02</v>
      </c>
      <c r="W12">
        <v>160102</v>
      </c>
      <c r="X12">
        <v>160202</v>
      </c>
      <c r="Y12">
        <v>410102</v>
      </c>
    </row>
    <row r="13" spans="1:25">
      <c r="A13" t="s">
        <v>56</v>
      </c>
      <c r="B13" t="s">
        <v>25</v>
      </c>
      <c r="C13" t="s">
        <v>62</v>
      </c>
      <c r="D13" t="s">
        <v>27</v>
      </c>
      <c r="E13" t="s">
        <v>28</v>
      </c>
      <c r="F13" t="str">
        <f t="shared" si="0"/>
        <v>020061-模具-CNU冲压件模具-1</v>
      </c>
      <c r="G13" t="s">
        <v>63</v>
      </c>
      <c r="H13">
        <v>1</v>
      </c>
      <c r="I13" t="s">
        <v>30</v>
      </c>
      <c r="J13" t="s">
        <v>56</v>
      </c>
      <c r="K13" s="5">
        <v>45231</v>
      </c>
      <c r="L13" t="s">
        <v>31</v>
      </c>
      <c r="M13">
        <v>120</v>
      </c>
      <c r="N13">
        <v>1</v>
      </c>
      <c r="O13" t="s">
        <v>59</v>
      </c>
      <c r="P13" s="7">
        <v>17699.12</v>
      </c>
      <c r="Q13" s="7">
        <v>1858.36</v>
      </c>
      <c r="R13" s="7">
        <v>15840.76</v>
      </c>
      <c r="S13" s="7">
        <v>1769.91</v>
      </c>
      <c r="T13" s="7">
        <v>132.74</v>
      </c>
      <c r="U13" t="s">
        <v>56</v>
      </c>
      <c r="V13" s="7">
        <v>1858.36</v>
      </c>
      <c r="W13">
        <v>160102</v>
      </c>
      <c r="X13">
        <v>160202</v>
      </c>
      <c r="Y13">
        <v>56021701</v>
      </c>
    </row>
    <row r="14" spans="1:25">
      <c r="A14" t="s">
        <v>64</v>
      </c>
      <c r="B14" t="s">
        <v>25</v>
      </c>
      <c r="C14" t="s">
        <v>65</v>
      </c>
      <c r="D14" t="s">
        <v>27</v>
      </c>
      <c r="E14" t="s">
        <v>28</v>
      </c>
      <c r="F14" t="str">
        <f t="shared" si="0"/>
        <v>020065-模具-CNU-amigo模块盒模具-3</v>
      </c>
      <c r="G14" t="s">
        <v>66</v>
      </c>
      <c r="H14">
        <v>3</v>
      </c>
      <c r="I14" t="s">
        <v>30</v>
      </c>
      <c r="J14" t="s">
        <v>64</v>
      </c>
      <c r="K14" s="5">
        <v>45261</v>
      </c>
      <c r="L14" t="s">
        <v>31</v>
      </c>
      <c r="M14">
        <v>120</v>
      </c>
      <c r="N14">
        <v>1</v>
      </c>
      <c r="O14" t="s">
        <v>67</v>
      </c>
      <c r="P14" s="7">
        <v>37168.14</v>
      </c>
      <c r="Q14" s="7">
        <v>3623.88</v>
      </c>
      <c r="R14" s="7">
        <v>33544.26</v>
      </c>
      <c r="S14" s="7">
        <v>3716.81</v>
      </c>
      <c r="T14" s="7">
        <v>278.76</v>
      </c>
      <c r="U14" t="s">
        <v>64</v>
      </c>
      <c r="V14" s="7">
        <v>3623.88</v>
      </c>
      <c r="W14">
        <v>160102</v>
      </c>
      <c r="X14">
        <v>160202</v>
      </c>
      <c r="Y14">
        <v>56021701</v>
      </c>
    </row>
    <row r="15" spans="1:25">
      <c r="A15" t="s">
        <v>64</v>
      </c>
      <c r="B15" t="s">
        <v>25</v>
      </c>
      <c r="C15" t="s">
        <v>68</v>
      </c>
      <c r="D15" t="s">
        <v>27</v>
      </c>
      <c r="E15" t="s">
        <v>28</v>
      </c>
      <c r="F15" t="str">
        <f t="shared" si="0"/>
        <v>020066-模具-超声波模具-1</v>
      </c>
      <c r="G15" t="s">
        <v>69</v>
      </c>
      <c r="H15">
        <v>1</v>
      </c>
      <c r="I15" t="s">
        <v>30</v>
      </c>
      <c r="J15" t="s">
        <v>64</v>
      </c>
      <c r="K15" s="5">
        <v>45261</v>
      </c>
      <c r="L15" t="s">
        <v>31</v>
      </c>
      <c r="M15">
        <v>120</v>
      </c>
      <c r="N15">
        <v>1</v>
      </c>
      <c r="O15" t="s">
        <v>67</v>
      </c>
      <c r="P15" s="7">
        <v>1061.95</v>
      </c>
      <c r="Q15" s="7">
        <v>103.48</v>
      </c>
      <c r="R15" s="7">
        <v>958.47</v>
      </c>
      <c r="S15" s="7">
        <v>106.2</v>
      </c>
      <c r="T15" s="7">
        <v>7.96</v>
      </c>
      <c r="U15" t="s">
        <v>64</v>
      </c>
      <c r="V15" s="7">
        <v>103.48</v>
      </c>
      <c r="W15">
        <v>160102</v>
      </c>
      <c r="X15">
        <v>160202</v>
      </c>
      <c r="Y15">
        <v>56021701</v>
      </c>
    </row>
    <row r="16" spans="1:25">
      <c r="A16" t="s">
        <v>64</v>
      </c>
      <c r="B16" t="s">
        <v>25</v>
      </c>
      <c r="C16" t="s">
        <v>70</v>
      </c>
      <c r="D16" t="s">
        <v>27</v>
      </c>
      <c r="E16" t="s">
        <v>28</v>
      </c>
      <c r="F16" t="str">
        <f t="shared" si="0"/>
        <v>020067-模具-磁珠外壳-1</v>
      </c>
      <c r="G16" t="s">
        <v>71</v>
      </c>
      <c r="H16">
        <v>1</v>
      </c>
      <c r="I16" t="s">
        <v>30</v>
      </c>
      <c r="J16" t="s">
        <v>64</v>
      </c>
      <c r="K16" s="5">
        <v>45261</v>
      </c>
      <c r="L16" t="s">
        <v>31</v>
      </c>
      <c r="M16">
        <v>120</v>
      </c>
      <c r="N16">
        <v>1</v>
      </c>
      <c r="O16" t="s">
        <v>67</v>
      </c>
      <c r="P16" s="7">
        <v>38000</v>
      </c>
      <c r="Q16" s="7">
        <v>3705</v>
      </c>
      <c r="R16" s="7">
        <v>34295</v>
      </c>
      <c r="S16" s="7">
        <v>3800</v>
      </c>
      <c r="T16" s="7">
        <v>285</v>
      </c>
      <c r="U16" t="s">
        <v>64</v>
      </c>
      <c r="V16" s="7">
        <v>3705</v>
      </c>
      <c r="W16">
        <v>160102</v>
      </c>
      <c r="X16">
        <v>160202</v>
      </c>
      <c r="Y16">
        <v>56021701</v>
      </c>
    </row>
    <row r="17" spans="1:25">
      <c r="A17" t="s">
        <v>64</v>
      </c>
      <c r="B17" t="s">
        <v>25</v>
      </c>
      <c r="C17" t="s">
        <v>72</v>
      </c>
      <c r="D17" t="s">
        <v>27</v>
      </c>
      <c r="E17" t="s">
        <v>28</v>
      </c>
      <c r="F17" t="str">
        <f t="shared" si="0"/>
        <v>020068-模具-磁珠盖子-1</v>
      </c>
      <c r="G17" t="s">
        <v>73</v>
      </c>
      <c r="H17">
        <v>1</v>
      </c>
      <c r="I17" t="s">
        <v>30</v>
      </c>
      <c r="J17" t="s">
        <v>64</v>
      </c>
      <c r="K17" s="5">
        <v>45261</v>
      </c>
      <c r="L17" t="s">
        <v>31</v>
      </c>
      <c r="M17">
        <v>120</v>
      </c>
      <c r="N17">
        <v>1</v>
      </c>
      <c r="O17" t="s">
        <v>67</v>
      </c>
      <c r="P17" s="7">
        <v>18000</v>
      </c>
      <c r="Q17" s="7">
        <v>1755</v>
      </c>
      <c r="R17" s="7">
        <v>16245</v>
      </c>
      <c r="S17" s="7">
        <v>1800</v>
      </c>
      <c r="T17" s="7">
        <v>135</v>
      </c>
      <c r="U17" t="s">
        <v>64</v>
      </c>
      <c r="V17" s="7">
        <v>1755</v>
      </c>
      <c r="W17">
        <v>160102</v>
      </c>
      <c r="X17">
        <v>160202</v>
      </c>
      <c r="Y17">
        <v>56021701</v>
      </c>
    </row>
    <row r="18" spans="1:25">
      <c r="A18" t="s">
        <v>64</v>
      </c>
      <c r="B18" t="s">
        <v>25</v>
      </c>
      <c r="C18" t="s">
        <v>74</v>
      </c>
      <c r="D18" t="s">
        <v>27</v>
      </c>
      <c r="E18" t="s">
        <v>28</v>
      </c>
      <c r="F18" t="str">
        <f t="shared" si="0"/>
        <v>020069-模具-磁珠外壳改模-1</v>
      </c>
      <c r="G18" t="s">
        <v>75</v>
      </c>
      <c r="H18">
        <v>1</v>
      </c>
      <c r="I18" t="s">
        <v>30</v>
      </c>
      <c r="J18" t="s">
        <v>64</v>
      </c>
      <c r="K18" s="5">
        <v>45261</v>
      </c>
      <c r="L18" t="s">
        <v>31</v>
      </c>
      <c r="M18">
        <v>120</v>
      </c>
      <c r="N18">
        <v>1</v>
      </c>
      <c r="O18" t="s">
        <v>67</v>
      </c>
      <c r="P18" s="7">
        <v>5132.74</v>
      </c>
      <c r="Q18" s="7">
        <v>500.5</v>
      </c>
      <c r="R18" s="7">
        <v>4632.24</v>
      </c>
      <c r="S18" s="7">
        <v>513.27</v>
      </c>
      <c r="T18" s="7">
        <v>38.5</v>
      </c>
      <c r="U18" t="s">
        <v>64</v>
      </c>
      <c r="V18" s="7">
        <v>500.5</v>
      </c>
      <c r="W18">
        <v>160102</v>
      </c>
      <c r="X18">
        <v>160202</v>
      </c>
      <c r="Y18">
        <v>56021701</v>
      </c>
    </row>
    <row r="19" spans="1:25">
      <c r="A19" t="s">
        <v>76</v>
      </c>
      <c r="B19" t="s">
        <v>25</v>
      </c>
      <c r="C19" t="s">
        <v>77</v>
      </c>
      <c r="D19" t="s">
        <v>78</v>
      </c>
      <c r="E19" t="s">
        <v>28</v>
      </c>
      <c r="F19" t="str">
        <f t="shared" si="0"/>
        <v>020070-三相 0.05 级多功能标准电能表-SRS121.3-1</v>
      </c>
      <c r="G19" t="s">
        <v>79</v>
      </c>
      <c r="H19">
        <v>1</v>
      </c>
      <c r="I19" t="s">
        <v>30</v>
      </c>
      <c r="J19" t="s">
        <v>76</v>
      </c>
      <c r="K19" s="5">
        <v>45292</v>
      </c>
      <c r="L19" t="s">
        <v>31</v>
      </c>
      <c r="M19">
        <v>120</v>
      </c>
      <c r="N19">
        <v>1</v>
      </c>
      <c r="O19" t="s">
        <v>80</v>
      </c>
      <c r="P19" s="7">
        <v>61946.9</v>
      </c>
      <c r="Q19" s="7">
        <v>5575.2</v>
      </c>
      <c r="R19" s="7">
        <v>56371.7</v>
      </c>
      <c r="S19" s="7">
        <v>6194.69</v>
      </c>
      <c r="T19" s="7">
        <v>464.6</v>
      </c>
      <c r="U19" t="s">
        <v>76</v>
      </c>
      <c r="V19" s="7">
        <v>5575.2</v>
      </c>
      <c r="W19">
        <v>160102</v>
      </c>
      <c r="X19">
        <v>160202</v>
      </c>
      <c r="Y19">
        <v>56021701</v>
      </c>
    </row>
    <row r="20" spans="1:25">
      <c r="A20" t="s">
        <v>76</v>
      </c>
      <c r="B20" t="s">
        <v>25</v>
      </c>
      <c r="C20" t="s">
        <v>81</v>
      </c>
      <c r="D20" t="s">
        <v>82</v>
      </c>
      <c r="E20" t="s">
        <v>28</v>
      </c>
      <c r="F20" t="str">
        <f t="shared" si="0"/>
        <v>020071-三相功率源蓝牙控制显示面板-PCS400.3-1</v>
      </c>
      <c r="G20" t="s">
        <v>83</v>
      </c>
      <c r="H20">
        <v>1</v>
      </c>
      <c r="I20" t="s">
        <v>30</v>
      </c>
      <c r="J20" t="s">
        <v>76</v>
      </c>
      <c r="K20" s="5">
        <v>45292</v>
      </c>
      <c r="L20" t="s">
        <v>31</v>
      </c>
      <c r="M20">
        <v>120</v>
      </c>
      <c r="N20">
        <v>1</v>
      </c>
      <c r="O20" t="s">
        <v>80</v>
      </c>
      <c r="P20" s="7">
        <v>30088.5</v>
      </c>
      <c r="Q20" s="7">
        <v>2707.92</v>
      </c>
      <c r="R20" s="7">
        <v>27380.58</v>
      </c>
      <c r="S20" s="7">
        <v>3008.85</v>
      </c>
      <c r="T20" s="7">
        <v>225.66</v>
      </c>
      <c r="U20" t="s">
        <v>76</v>
      </c>
      <c r="V20" s="7">
        <v>2707.92</v>
      </c>
      <c r="W20">
        <v>160102</v>
      </c>
      <c r="X20">
        <v>160202</v>
      </c>
      <c r="Y20">
        <v>56021701</v>
      </c>
    </row>
    <row r="21" spans="1:25">
      <c r="A21" t="s">
        <v>76</v>
      </c>
      <c r="B21" t="s">
        <v>25</v>
      </c>
      <c r="C21" t="s">
        <v>84</v>
      </c>
      <c r="D21" t="s">
        <v>85</v>
      </c>
      <c r="E21" t="s">
        <v>28</v>
      </c>
      <c r="F21" t="str">
        <f t="shared" si="0"/>
        <v>020072-三相便携式宽量程谐波功率源-PPS400.3-1</v>
      </c>
      <c r="G21" t="s">
        <v>86</v>
      </c>
      <c r="H21">
        <v>1</v>
      </c>
      <c r="I21" t="s">
        <v>30</v>
      </c>
      <c r="J21" t="s">
        <v>76</v>
      </c>
      <c r="K21" s="5">
        <v>45292</v>
      </c>
      <c r="L21" t="s">
        <v>31</v>
      </c>
      <c r="M21">
        <v>120</v>
      </c>
      <c r="N21">
        <v>1</v>
      </c>
      <c r="O21" t="s">
        <v>80</v>
      </c>
      <c r="P21" s="7">
        <v>300884.97</v>
      </c>
      <c r="Q21" s="7">
        <v>27079.68</v>
      </c>
      <c r="R21" s="7">
        <v>273805.29</v>
      </c>
      <c r="S21" s="7">
        <v>30088.5</v>
      </c>
      <c r="T21" s="7">
        <v>2256.64</v>
      </c>
      <c r="U21" t="s">
        <v>76</v>
      </c>
      <c r="V21" s="7">
        <v>27079.68</v>
      </c>
      <c r="W21">
        <v>160102</v>
      </c>
      <c r="X21">
        <v>160202</v>
      </c>
      <c r="Y21">
        <v>56021701</v>
      </c>
    </row>
    <row r="22" spans="1:25">
      <c r="A22" t="s">
        <v>76</v>
      </c>
      <c r="B22" t="s">
        <v>25</v>
      </c>
      <c r="C22" t="s">
        <v>87</v>
      </c>
      <c r="D22" t="s">
        <v>88</v>
      </c>
      <c r="E22" t="s">
        <v>28</v>
      </c>
      <c r="F22" t="str">
        <f t="shared" si="0"/>
        <v>020073-矢量网络分析仪-E5062A-1</v>
      </c>
      <c r="G22" t="s">
        <v>89</v>
      </c>
      <c r="H22">
        <v>1</v>
      </c>
      <c r="I22" t="s">
        <v>30</v>
      </c>
      <c r="J22" t="s">
        <v>76</v>
      </c>
      <c r="K22" s="5">
        <v>45292</v>
      </c>
      <c r="L22" t="s">
        <v>31</v>
      </c>
      <c r="M22">
        <v>120</v>
      </c>
      <c r="N22">
        <v>1</v>
      </c>
      <c r="O22" t="s">
        <v>80</v>
      </c>
      <c r="P22" s="7">
        <v>20000</v>
      </c>
      <c r="Q22" s="7">
        <v>1800</v>
      </c>
      <c r="R22" s="7">
        <v>18200</v>
      </c>
      <c r="S22" s="7">
        <v>2000</v>
      </c>
      <c r="T22" s="7">
        <v>150</v>
      </c>
      <c r="U22" t="s">
        <v>76</v>
      </c>
      <c r="V22" s="7">
        <v>1800</v>
      </c>
      <c r="W22">
        <v>160102</v>
      </c>
      <c r="X22">
        <v>160202</v>
      </c>
      <c r="Y22">
        <v>56021701</v>
      </c>
    </row>
    <row r="23" spans="1:25">
      <c r="A23" t="s">
        <v>90</v>
      </c>
      <c r="B23" t="s">
        <v>25</v>
      </c>
      <c r="C23" t="s">
        <v>91</v>
      </c>
      <c r="D23" t="s">
        <v>92</v>
      </c>
      <c r="E23" t="s">
        <v>28</v>
      </c>
      <c r="F23" t="str">
        <f t="shared" si="0"/>
        <v>020075-探头模具--1</v>
      </c>
      <c r="H23">
        <v>1</v>
      </c>
      <c r="I23" t="s">
        <v>30</v>
      </c>
      <c r="J23" t="s">
        <v>90</v>
      </c>
      <c r="K23" s="5">
        <v>45352</v>
      </c>
      <c r="L23" t="s">
        <v>31</v>
      </c>
      <c r="M23">
        <v>120</v>
      </c>
      <c r="N23">
        <v>1</v>
      </c>
      <c r="O23" t="s">
        <v>93</v>
      </c>
      <c r="P23" s="7">
        <v>24271.84</v>
      </c>
      <c r="Q23" s="7">
        <v>1820.4</v>
      </c>
      <c r="R23" s="7">
        <v>22451.44</v>
      </c>
      <c r="S23" s="7">
        <v>2427.18</v>
      </c>
      <c r="T23" s="7">
        <v>182.04</v>
      </c>
      <c r="U23" t="s">
        <v>90</v>
      </c>
      <c r="V23" s="7">
        <v>1820.4</v>
      </c>
      <c r="W23">
        <v>160102</v>
      </c>
      <c r="X23">
        <v>160202</v>
      </c>
      <c r="Y23">
        <v>56021701</v>
      </c>
    </row>
    <row r="24" spans="1:25">
      <c r="A24" t="s">
        <v>90</v>
      </c>
      <c r="B24" t="s">
        <v>25</v>
      </c>
      <c r="C24" t="s">
        <v>94</v>
      </c>
      <c r="D24" t="s">
        <v>92</v>
      </c>
      <c r="E24" t="s">
        <v>28</v>
      </c>
      <c r="F24" t="str">
        <f t="shared" si="0"/>
        <v>020076-探头模具--5</v>
      </c>
      <c r="H24">
        <v>5</v>
      </c>
      <c r="I24" t="s">
        <v>30</v>
      </c>
      <c r="J24" t="s">
        <v>90</v>
      </c>
      <c r="K24" s="5">
        <v>45352</v>
      </c>
      <c r="L24" t="s">
        <v>31</v>
      </c>
      <c r="M24">
        <v>120</v>
      </c>
      <c r="N24">
        <v>1</v>
      </c>
      <c r="O24" t="s">
        <v>93</v>
      </c>
      <c r="P24" s="7">
        <v>97087.38</v>
      </c>
      <c r="Q24" s="7">
        <v>7281.6</v>
      </c>
      <c r="R24" s="7">
        <v>89805.78</v>
      </c>
      <c r="S24" s="7">
        <v>9708.74</v>
      </c>
      <c r="T24" s="7">
        <v>728.16</v>
      </c>
      <c r="U24" t="s">
        <v>90</v>
      </c>
      <c r="V24" s="7">
        <v>7281.6</v>
      </c>
      <c r="W24">
        <v>160102</v>
      </c>
      <c r="X24">
        <v>160202</v>
      </c>
      <c r="Y24">
        <v>56021701</v>
      </c>
    </row>
    <row r="25" spans="1:25">
      <c r="A25" t="s">
        <v>90</v>
      </c>
      <c r="B25" t="s">
        <v>25</v>
      </c>
      <c r="C25" t="s">
        <v>95</v>
      </c>
      <c r="D25" t="s">
        <v>27</v>
      </c>
      <c r="E25" t="s">
        <v>28</v>
      </c>
      <c r="F25" t="str">
        <f t="shared" si="0"/>
        <v>020077-模具--12</v>
      </c>
      <c r="H25">
        <v>12</v>
      </c>
      <c r="I25" t="s">
        <v>36</v>
      </c>
      <c r="J25" t="s">
        <v>96</v>
      </c>
      <c r="K25" s="5">
        <v>45413</v>
      </c>
      <c r="L25" t="s">
        <v>31</v>
      </c>
      <c r="M25">
        <v>120</v>
      </c>
      <c r="N25">
        <v>1</v>
      </c>
      <c r="O25" t="s">
        <v>97</v>
      </c>
      <c r="P25" s="7">
        <v>24271.84</v>
      </c>
      <c r="Q25" s="7">
        <v>1456.32</v>
      </c>
      <c r="R25" s="7">
        <v>22815.52</v>
      </c>
      <c r="S25" s="7">
        <v>2427.18</v>
      </c>
      <c r="T25" s="7">
        <v>182.04</v>
      </c>
      <c r="U25" t="s">
        <v>98</v>
      </c>
      <c r="V25" s="7">
        <v>1456.32</v>
      </c>
      <c r="W25">
        <v>160102</v>
      </c>
      <c r="X25">
        <v>160202</v>
      </c>
      <c r="Y25">
        <v>410102</v>
      </c>
    </row>
    <row r="26" spans="1:25">
      <c r="A26" t="s">
        <v>98</v>
      </c>
      <c r="B26" t="s">
        <v>25</v>
      </c>
      <c r="C26" t="s">
        <v>99</v>
      </c>
      <c r="D26" t="s">
        <v>27</v>
      </c>
      <c r="E26" t="s">
        <v>28</v>
      </c>
      <c r="F26" t="str">
        <f t="shared" si="0"/>
        <v>020078-模具--12</v>
      </c>
      <c r="H26">
        <v>12</v>
      </c>
      <c r="I26" t="s">
        <v>36</v>
      </c>
      <c r="J26" t="s">
        <v>98</v>
      </c>
      <c r="K26" s="5">
        <v>45413</v>
      </c>
      <c r="L26" t="s">
        <v>31</v>
      </c>
      <c r="M26">
        <v>120</v>
      </c>
      <c r="N26">
        <v>1</v>
      </c>
      <c r="O26" t="s">
        <v>97</v>
      </c>
      <c r="P26" s="7">
        <v>97087.38</v>
      </c>
      <c r="Q26" s="7">
        <v>5825.28</v>
      </c>
      <c r="R26" s="7">
        <v>91262.1</v>
      </c>
      <c r="S26" s="7">
        <v>9708.74</v>
      </c>
      <c r="T26" s="7">
        <v>728.16</v>
      </c>
      <c r="U26" t="s">
        <v>98</v>
      </c>
      <c r="V26" s="7">
        <v>5825.28</v>
      </c>
      <c r="W26">
        <v>160102</v>
      </c>
      <c r="X26">
        <v>160202</v>
      </c>
      <c r="Y26">
        <v>410102</v>
      </c>
    </row>
    <row r="27" spans="1:25">
      <c r="A27" t="s">
        <v>98</v>
      </c>
      <c r="B27" t="s">
        <v>25</v>
      </c>
      <c r="C27" t="s">
        <v>100</v>
      </c>
      <c r="D27" t="s">
        <v>27</v>
      </c>
      <c r="E27" t="s">
        <v>28</v>
      </c>
      <c r="F27" t="str">
        <f t="shared" si="0"/>
        <v>020079-模具--1</v>
      </c>
      <c r="H27">
        <v>1</v>
      </c>
      <c r="I27" t="s">
        <v>36</v>
      </c>
      <c r="J27" t="s">
        <v>98</v>
      </c>
      <c r="K27" s="5">
        <v>45413</v>
      </c>
      <c r="L27" t="s">
        <v>31</v>
      </c>
      <c r="M27">
        <v>120</v>
      </c>
      <c r="N27">
        <v>1</v>
      </c>
      <c r="O27" t="s">
        <v>97</v>
      </c>
      <c r="P27" s="7">
        <v>20873.79</v>
      </c>
      <c r="Q27" s="7">
        <v>1252.4</v>
      </c>
      <c r="R27" s="7">
        <v>19621.39</v>
      </c>
      <c r="S27" s="7">
        <v>2087.38</v>
      </c>
      <c r="T27" s="7">
        <v>156.55</v>
      </c>
      <c r="U27" t="s">
        <v>98</v>
      </c>
      <c r="V27" s="7">
        <v>1252.4</v>
      </c>
      <c r="W27">
        <v>160102</v>
      </c>
      <c r="X27">
        <v>160202</v>
      </c>
      <c r="Y27">
        <v>410102</v>
      </c>
    </row>
    <row r="28" spans="1:25">
      <c r="A28" t="s">
        <v>101</v>
      </c>
      <c r="B28" t="s">
        <v>25</v>
      </c>
      <c r="C28" t="s">
        <v>102</v>
      </c>
      <c r="D28" t="s">
        <v>103</v>
      </c>
      <c r="E28" t="s">
        <v>28</v>
      </c>
      <c r="F28" t="str">
        <f t="shared" si="0"/>
        <v>020080-频谱仪-DSA710-1</v>
      </c>
      <c r="G28" t="s">
        <v>104</v>
      </c>
      <c r="H28">
        <v>1</v>
      </c>
      <c r="I28" t="s">
        <v>36</v>
      </c>
      <c r="J28" t="s">
        <v>101</v>
      </c>
      <c r="K28" s="5">
        <v>45383</v>
      </c>
      <c r="L28" t="s">
        <v>31</v>
      </c>
      <c r="M28">
        <v>120</v>
      </c>
      <c r="N28">
        <v>1</v>
      </c>
      <c r="O28" t="s">
        <v>105</v>
      </c>
      <c r="P28" s="7">
        <v>4419.47</v>
      </c>
      <c r="Q28" s="7">
        <v>298.35</v>
      </c>
      <c r="R28" s="7">
        <v>4121.12</v>
      </c>
      <c r="S28" s="7">
        <v>441.95</v>
      </c>
      <c r="T28" s="7">
        <v>33.15</v>
      </c>
      <c r="U28" t="s">
        <v>101</v>
      </c>
      <c r="V28" s="7">
        <v>298.35</v>
      </c>
      <c r="W28">
        <v>160102</v>
      </c>
      <c r="X28">
        <v>160202</v>
      </c>
      <c r="Y28">
        <v>410102</v>
      </c>
    </row>
    <row r="29" spans="1:25">
      <c r="A29" t="s">
        <v>106</v>
      </c>
      <c r="B29" t="s">
        <v>25</v>
      </c>
      <c r="C29" t="s">
        <v>107</v>
      </c>
      <c r="D29" t="s">
        <v>27</v>
      </c>
      <c r="E29" t="s">
        <v>28</v>
      </c>
      <c r="F29" t="str">
        <f t="shared" si="0"/>
        <v>020081-模具-上下盖模块盒模具-1</v>
      </c>
      <c r="G29" t="s">
        <v>108</v>
      </c>
      <c r="H29">
        <v>1</v>
      </c>
      <c r="I29" t="s">
        <v>30</v>
      </c>
      <c r="J29" t="s">
        <v>106</v>
      </c>
      <c r="K29" s="5">
        <v>45413</v>
      </c>
      <c r="L29" t="s">
        <v>31</v>
      </c>
      <c r="M29">
        <v>120</v>
      </c>
      <c r="N29">
        <v>1</v>
      </c>
      <c r="O29" t="s">
        <v>97</v>
      </c>
      <c r="P29" s="7">
        <v>70796.46</v>
      </c>
      <c r="Q29" s="7">
        <v>4247.76</v>
      </c>
      <c r="R29" s="7">
        <v>66548.7</v>
      </c>
      <c r="S29" s="7">
        <v>7079.65</v>
      </c>
      <c r="T29" s="7">
        <v>530.97</v>
      </c>
      <c r="U29" t="s">
        <v>106</v>
      </c>
      <c r="V29" s="7">
        <v>4247.76</v>
      </c>
      <c r="W29">
        <v>160102</v>
      </c>
      <c r="X29">
        <v>160202</v>
      </c>
      <c r="Y29">
        <v>56021701</v>
      </c>
    </row>
    <row r="30" spans="1:25">
      <c r="A30" t="s">
        <v>106</v>
      </c>
      <c r="B30" t="s">
        <v>25</v>
      </c>
      <c r="C30" t="s">
        <v>109</v>
      </c>
      <c r="D30" t="s">
        <v>27</v>
      </c>
      <c r="E30" t="s">
        <v>28</v>
      </c>
      <c r="F30" t="str">
        <f t="shared" si="0"/>
        <v>020082-模具-小盖面板模具-1</v>
      </c>
      <c r="G30" t="s">
        <v>110</v>
      </c>
      <c r="H30">
        <v>1</v>
      </c>
      <c r="I30" t="s">
        <v>30</v>
      </c>
      <c r="J30" t="s">
        <v>106</v>
      </c>
      <c r="K30" s="5">
        <v>45413</v>
      </c>
      <c r="L30" t="s">
        <v>31</v>
      </c>
      <c r="M30">
        <v>120</v>
      </c>
      <c r="N30">
        <v>1</v>
      </c>
      <c r="O30" t="s">
        <v>97</v>
      </c>
      <c r="P30" s="7">
        <v>25929.2</v>
      </c>
      <c r="Q30" s="7">
        <v>1555.76</v>
      </c>
      <c r="R30" s="7">
        <v>24373.44</v>
      </c>
      <c r="S30" s="7">
        <v>2592.92</v>
      </c>
      <c r="T30" s="7">
        <v>194.47</v>
      </c>
      <c r="U30" t="s">
        <v>106</v>
      </c>
      <c r="V30" s="7">
        <v>1555.76</v>
      </c>
      <c r="W30">
        <v>160102</v>
      </c>
      <c r="X30">
        <v>160202</v>
      </c>
      <c r="Y30">
        <v>56021701</v>
      </c>
    </row>
    <row r="31" spans="1:25">
      <c r="A31" t="s">
        <v>106</v>
      </c>
      <c r="B31" t="s">
        <v>25</v>
      </c>
      <c r="C31" t="s">
        <v>111</v>
      </c>
      <c r="D31" t="s">
        <v>112</v>
      </c>
      <c r="E31" t="s">
        <v>28</v>
      </c>
      <c r="F31" t="str">
        <f t="shared" si="0"/>
        <v>020083-单相电表检验装置-HS-6103D 分体式，精度0.05%：0-100A-1</v>
      </c>
      <c r="G31" t="s">
        <v>113</v>
      </c>
      <c r="H31">
        <v>1</v>
      </c>
      <c r="I31" t="s">
        <v>30</v>
      </c>
      <c r="J31" t="s">
        <v>106</v>
      </c>
      <c r="K31" s="5">
        <v>45413</v>
      </c>
      <c r="L31" t="s">
        <v>31</v>
      </c>
      <c r="M31">
        <v>120</v>
      </c>
      <c r="N31">
        <v>1</v>
      </c>
      <c r="O31" t="s">
        <v>97</v>
      </c>
      <c r="P31" s="7">
        <v>100000</v>
      </c>
      <c r="Q31" s="7">
        <v>6000</v>
      </c>
      <c r="R31" s="7">
        <v>94000</v>
      </c>
      <c r="S31" s="7">
        <v>10000</v>
      </c>
      <c r="T31" s="7">
        <v>750</v>
      </c>
      <c r="U31" t="s">
        <v>106</v>
      </c>
      <c r="V31" s="7">
        <v>6000</v>
      </c>
      <c r="W31">
        <v>160102</v>
      </c>
      <c r="X31">
        <v>160202</v>
      </c>
      <c r="Y31">
        <v>56021701</v>
      </c>
    </row>
    <row r="32" spans="1:25">
      <c r="A32" t="s">
        <v>114</v>
      </c>
      <c r="B32" t="s">
        <v>25</v>
      </c>
      <c r="C32" t="s">
        <v>115</v>
      </c>
      <c r="D32" t="s">
        <v>27</v>
      </c>
      <c r="E32" t="s">
        <v>28</v>
      </c>
      <c r="F32" t="str">
        <f t="shared" si="0"/>
        <v>020084-模具-三相铜片模具-1</v>
      </c>
      <c r="G32" t="s">
        <v>116</v>
      </c>
      <c r="H32">
        <v>1</v>
      </c>
      <c r="I32" t="s">
        <v>30</v>
      </c>
      <c r="J32" t="s">
        <v>114</v>
      </c>
      <c r="K32" s="5">
        <v>45444</v>
      </c>
      <c r="L32" t="s">
        <v>31</v>
      </c>
      <c r="M32">
        <v>120</v>
      </c>
      <c r="N32">
        <v>1</v>
      </c>
      <c r="O32" t="s">
        <v>117</v>
      </c>
      <c r="P32" s="7">
        <v>13274.34</v>
      </c>
      <c r="Q32" s="7">
        <v>696.92</v>
      </c>
      <c r="R32" s="7">
        <v>12577.42</v>
      </c>
      <c r="S32" s="7">
        <v>1327.43</v>
      </c>
      <c r="T32" s="7">
        <v>99.56</v>
      </c>
      <c r="U32" t="s">
        <v>114</v>
      </c>
      <c r="V32" s="7">
        <v>696.92</v>
      </c>
      <c r="W32">
        <v>160102</v>
      </c>
      <c r="X32">
        <v>160202</v>
      </c>
      <c r="Y32">
        <v>56021701</v>
      </c>
    </row>
    <row r="33" spans="1:25">
      <c r="A33" t="s">
        <v>114</v>
      </c>
      <c r="B33" t="s">
        <v>25</v>
      </c>
      <c r="C33" t="s">
        <v>118</v>
      </c>
      <c r="D33" t="s">
        <v>27</v>
      </c>
      <c r="E33" t="s">
        <v>28</v>
      </c>
      <c r="F33" t="str">
        <f t="shared" si="0"/>
        <v>020085-模具-三相辅电插座铜片模具-1</v>
      </c>
      <c r="G33" t="s">
        <v>119</v>
      </c>
      <c r="H33">
        <v>1</v>
      </c>
      <c r="I33" t="s">
        <v>30</v>
      </c>
      <c r="J33" t="s">
        <v>114</v>
      </c>
      <c r="K33" s="5">
        <v>45444</v>
      </c>
      <c r="L33" t="s">
        <v>31</v>
      </c>
      <c r="M33">
        <v>120</v>
      </c>
      <c r="N33">
        <v>1</v>
      </c>
      <c r="O33" t="s">
        <v>117</v>
      </c>
      <c r="P33" s="7">
        <v>7079.65</v>
      </c>
      <c r="Q33" s="7">
        <v>371.7</v>
      </c>
      <c r="R33" s="7">
        <v>6707.95</v>
      </c>
      <c r="S33" s="7">
        <v>707.97</v>
      </c>
      <c r="T33" s="7">
        <v>53.1</v>
      </c>
      <c r="U33" t="s">
        <v>114</v>
      </c>
      <c r="V33" s="7">
        <v>371.7</v>
      </c>
      <c r="W33">
        <v>160102</v>
      </c>
      <c r="X33">
        <v>160202</v>
      </c>
      <c r="Y33">
        <v>56021701</v>
      </c>
    </row>
    <row r="34" spans="1:25">
      <c r="A34" t="s">
        <v>120</v>
      </c>
      <c r="B34" t="s">
        <v>25</v>
      </c>
      <c r="C34" t="s">
        <v>121</v>
      </c>
      <c r="D34" t="s">
        <v>122</v>
      </c>
      <c r="E34" t="s">
        <v>28</v>
      </c>
      <c r="F34" t="str">
        <f t="shared" si="0"/>
        <v>020092-包胶模具--6</v>
      </c>
      <c r="H34">
        <v>6</v>
      </c>
      <c r="I34" t="s">
        <v>30</v>
      </c>
      <c r="J34" t="s">
        <v>120</v>
      </c>
      <c r="K34" s="5">
        <v>45474</v>
      </c>
      <c r="L34" t="s">
        <v>31</v>
      </c>
      <c r="M34">
        <v>120</v>
      </c>
      <c r="N34">
        <v>1</v>
      </c>
      <c r="O34" t="s">
        <v>123</v>
      </c>
      <c r="P34" s="7">
        <v>20439.82</v>
      </c>
      <c r="Q34" s="7">
        <v>919.8</v>
      </c>
      <c r="R34" s="7">
        <v>19520.02</v>
      </c>
      <c r="S34" s="7">
        <v>2043.98</v>
      </c>
      <c r="T34" s="7">
        <v>153.3</v>
      </c>
      <c r="U34" t="s">
        <v>120</v>
      </c>
      <c r="V34" s="7">
        <v>919.8</v>
      </c>
      <c r="W34">
        <v>160102</v>
      </c>
      <c r="X34">
        <v>160202</v>
      </c>
      <c r="Y34">
        <v>56021701</v>
      </c>
    </row>
    <row r="35" spans="1:25">
      <c r="A35" t="s">
        <v>120</v>
      </c>
      <c r="B35" t="s">
        <v>25</v>
      </c>
      <c r="C35" t="s">
        <v>124</v>
      </c>
      <c r="D35" t="s">
        <v>125</v>
      </c>
      <c r="E35" t="s">
        <v>28</v>
      </c>
      <c r="F35" t="str">
        <f t="shared" si="0"/>
        <v>020094-移印机配件--1</v>
      </c>
      <c r="H35">
        <v>1</v>
      </c>
      <c r="I35" t="s">
        <v>36</v>
      </c>
      <c r="J35" t="s">
        <v>120</v>
      </c>
      <c r="K35" s="5">
        <v>45474</v>
      </c>
      <c r="L35" t="s">
        <v>31</v>
      </c>
      <c r="M35">
        <v>120</v>
      </c>
      <c r="N35">
        <v>1</v>
      </c>
      <c r="O35" t="s">
        <v>123</v>
      </c>
      <c r="P35" s="7">
        <v>5575.22</v>
      </c>
      <c r="Q35" s="7">
        <v>250.86</v>
      </c>
      <c r="R35" s="7">
        <v>5324.36</v>
      </c>
      <c r="S35" s="7">
        <v>557.52</v>
      </c>
      <c r="T35" s="7">
        <v>41.81</v>
      </c>
      <c r="U35" t="s">
        <v>120</v>
      </c>
      <c r="V35" s="7">
        <v>250.86</v>
      </c>
      <c r="W35">
        <v>160102</v>
      </c>
      <c r="X35">
        <v>160202</v>
      </c>
      <c r="Y35">
        <v>410102</v>
      </c>
    </row>
    <row r="36" spans="1:25">
      <c r="A36" t="s">
        <v>126</v>
      </c>
      <c r="B36" t="s">
        <v>25</v>
      </c>
      <c r="C36" t="s">
        <v>127</v>
      </c>
      <c r="D36" t="s">
        <v>27</v>
      </c>
      <c r="E36" t="s">
        <v>28</v>
      </c>
      <c r="F36" t="str">
        <f t="shared" si="0"/>
        <v>020098-模具-120ACNU-AMGIGO-1</v>
      </c>
      <c r="G36" t="s">
        <v>128</v>
      </c>
      <c r="H36">
        <v>1</v>
      </c>
      <c r="I36" t="s">
        <v>36</v>
      </c>
      <c r="J36" t="s">
        <v>126</v>
      </c>
      <c r="K36" s="5">
        <v>45505</v>
      </c>
      <c r="L36" t="s">
        <v>31</v>
      </c>
      <c r="M36">
        <v>120</v>
      </c>
      <c r="N36">
        <v>1</v>
      </c>
      <c r="O36" t="s">
        <v>129</v>
      </c>
      <c r="P36" s="7">
        <v>131858.4</v>
      </c>
      <c r="Q36" s="7">
        <v>4944.7</v>
      </c>
      <c r="R36" s="7">
        <v>126913.7</v>
      </c>
      <c r="S36" s="7">
        <v>13185.84</v>
      </c>
      <c r="T36" s="7">
        <v>988.94</v>
      </c>
      <c r="U36" t="s">
        <v>126</v>
      </c>
      <c r="V36" s="7">
        <v>4944.7</v>
      </c>
      <c r="W36">
        <v>160102</v>
      </c>
      <c r="X36">
        <v>160202</v>
      </c>
      <c r="Y36">
        <v>410102</v>
      </c>
    </row>
    <row r="37" spans="1:25">
      <c r="A37" t="s">
        <v>126</v>
      </c>
      <c r="B37" t="s">
        <v>25</v>
      </c>
      <c r="C37" t="s">
        <v>130</v>
      </c>
      <c r="D37" t="s">
        <v>27</v>
      </c>
      <c r="E37" t="s">
        <v>28</v>
      </c>
      <c r="F37" t="str">
        <f t="shared" si="0"/>
        <v>020099-模具-C3299-2</v>
      </c>
      <c r="G37" t="s">
        <v>131</v>
      </c>
      <c r="H37">
        <v>2</v>
      </c>
      <c r="I37" t="s">
        <v>36</v>
      </c>
      <c r="J37" t="s">
        <v>126</v>
      </c>
      <c r="K37" s="5">
        <v>45505</v>
      </c>
      <c r="L37" t="s">
        <v>31</v>
      </c>
      <c r="M37">
        <v>120</v>
      </c>
      <c r="N37">
        <v>1</v>
      </c>
      <c r="O37" t="s">
        <v>129</v>
      </c>
      <c r="P37" s="7">
        <v>12831.86</v>
      </c>
      <c r="Q37" s="7">
        <v>507.95</v>
      </c>
      <c r="R37" s="7">
        <v>12323.91</v>
      </c>
      <c r="S37" s="7">
        <v>641.59</v>
      </c>
      <c r="T37" s="7">
        <v>101.59</v>
      </c>
      <c r="U37" t="s">
        <v>126</v>
      </c>
      <c r="V37" s="7">
        <v>507.95</v>
      </c>
      <c r="W37">
        <v>160102</v>
      </c>
      <c r="X37">
        <v>160202</v>
      </c>
      <c r="Y37">
        <v>410102</v>
      </c>
    </row>
    <row r="38" spans="1:25">
      <c r="A38" t="s">
        <v>132</v>
      </c>
      <c r="B38" t="s">
        <v>25</v>
      </c>
      <c r="C38" t="s">
        <v>133</v>
      </c>
      <c r="D38" t="s">
        <v>134</v>
      </c>
      <c r="E38" t="s">
        <v>28</v>
      </c>
      <c r="F38" t="str">
        <f t="shared" si="0"/>
        <v>020100-三相电能表便携式检验装置-HS-3303,表源一体桌面式，精度0.06%.0-100A-1</v>
      </c>
      <c r="G38" t="s">
        <v>135</v>
      </c>
      <c r="H38">
        <v>1</v>
      </c>
      <c r="I38" t="s">
        <v>36</v>
      </c>
      <c r="J38" t="s">
        <v>132</v>
      </c>
      <c r="K38" s="5">
        <v>45536</v>
      </c>
      <c r="L38" t="s">
        <v>31</v>
      </c>
      <c r="M38">
        <v>120</v>
      </c>
      <c r="N38">
        <v>1</v>
      </c>
      <c r="O38" t="s">
        <v>136</v>
      </c>
      <c r="P38" s="7">
        <v>37610.62</v>
      </c>
      <c r="Q38" s="7">
        <v>1128.32</v>
      </c>
      <c r="R38" s="7">
        <v>36482.3</v>
      </c>
      <c r="S38" s="7">
        <v>3761.06</v>
      </c>
      <c r="T38" s="7">
        <v>282.08</v>
      </c>
      <c r="U38" t="s">
        <v>132</v>
      </c>
      <c r="V38" s="7">
        <v>1128.32</v>
      </c>
      <c r="W38">
        <v>160102</v>
      </c>
      <c r="X38">
        <v>160202</v>
      </c>
      <c r="Y38">
        <v>410102</v>
      </c>
    </row>
    <row r="39" spans="1:25">
      <c r="A39" t="s">
        <v>132</v>
      </c>
      <c r="B39" t="s">
        <v>25</v>
      </c>
      <c r="C39" t="s">
        <v>137</v>
      </c>
      <c r="D39" t="s">
        <v>138</v>
      </c>
      <c r="E39" t="s">
        <v>28</v>
      </c>
      <c r="F39" t="str">
        <f t="shared" si="0"/>
        <v>020101-三相电能表检验装置-HS-3313M,3表位一体式，精度0.055.0-100A-1</v>
      </c>
      <c r="G39" t="s">
        <v>139</v>
      </c>
      <c r="H39">
        <v>1</v>
      </c>
      <c r="I39" t="s">
        <v>36</v>
      </c>
      <c r="J39" t="s">
        <v>132</v>
      </c>
      <c r="K39" s="5">
        <v>45536</v>
      </c>
      <c r="L39" t="s">
        <v>31</v>
      </c>
      <c r="M39">
        <v>120</v>
      </c>
      <c r="N39">
        <v>1</v>
      </c>
      <c r="O39" t="s">
        <v>136</v>
      </c>
      <c r="P39" s="7">
        <v>115044.25</v>
      </c>
      <c r="Q39" s="7">
        <v>3451.32</v>
      </c>
      <c r="R39" s="7">
        <v>111592.93</v>
      </c>
      <c r="S39" s="7">
        <v>11504.43</v>
      </c>
      <c r="T39" s="7">
        <v>862.83</v>
      </c>
      <c r="U39" t="s">
        <v>132</v>
      </c>
      <c r="V39" s="7">
        <v>3451.32</v>
      </c>
      <c r="W39">
        <v>160102</v>
      </c>
      <c r="X39">
        <v>160202</v>
      </c>
      <c r="Y39">
        <v>410102</v>
      </c>
    </row>
    <row r="40" spans="1:25">
      <c r="A40" t="s">
        <v>132</v>
      </c>
      <c r="B40" t="s">
        <v>25</v>
      </c>
      <c r="C40" t="s">
        <v>140</v>
      </c>
      <c r="D40" t="s">
        <v>27</v>
      </c>
      <c r="E40" t="s">
        <v>28</v>
      </c>
      <c r="F40" t="str">
        <f t="shared" si="0"/>
        <v>020102-模具-NB电池仓模具-5</v>
      </c>
      <c r="G40" t="s">
        <v>141</v>
      </c>
      <c r="H40">
        <v>5</v>
      </c>
      <c r="I40" t="s">
        <v>36</v>
      </c>
      <c r="J40" t="s">
        <v>132</v>
      </c>
      <c r="K40" s="5">
        <v>45536</v>
      </c>
      <c r="L40" t="s">
        <v>31</v>
      </c>
      <c r="M40">
        <v>120</v>
      </c>
      <c r="N40">
        <v>1</v>
      </c>
      <c r="O40" t="s">
        <v>136</v>
      </c>
      <c r="P40" s="7">
        <v>123008.84</v>
      </c>
      <c r="Q40" s="7">
        <v>3690.28</v>
      </c>
      <c r="R40" s="7">
        <v>119318.56</v>
      </c>
      <c r="S40" s="7">
        <v>12300.88</v>
      </c>
      <c r="T40" s="7">
        <v>922.57</v>
      </c>
      <c r="U40" t="s">
        <v>132</v>
      </c>
      <c r="V40" s="7">
        <v>3690.28</v>
      </c>
      <c r="W40">
        <v>160102</v>
      </c>
      <c r="X40">
        <v>160202</v>
      </c>
      <c r="Y40">
        <v>410102</v>
      </c>
    </row>
    <row r="41" spans="1:25">
      <c r="A41" t="s">
        <v>142</v>
      </c>
      <c r="B41" t="s">
        <v>25</v>
      </c>
      <c r="C41" t="s">
        <v>143</v>
      </c>
      <c r="D41" t="s">
        <v>144</v>
      </c>
      <c r="E41" t="s">
        <v>28</v>
      </c>
      <c r="F41" t="str">
        <f t="shared" si="0"/>
        <v>020106-注塑件模具-B11094 B11095-1</v>
      </c>
      <c r="G41" t="s">
        <v>145</v>
      </c>
      <c r="H41">
        <v>1</v>
      </c>
      <c r="I41" t="s">
        <v>36</v>
      </c>
      <c r="J41" t="s">
        <v>142</v>
      </c>
      <c r="K41" s="5">
        <v>45566</v>
      </c>
      <c r="L41" t="s">
        <v>31</v>
      </c>
      <c r="M41">
        <v>120</v>
      </c>
      <c r="N41">
        <v>1</v>
      </c>
      <c r="O41" t="s">
        <v>146</v>
      </c>
      <c r="P41" s="7">
        <v>14563.11</v>
      </c>
      <c r="Q41" s="7">
        <v>327.66</v>
      </c>
      <c r="R41" s="7">
        <v>14235.45</v>
      </c>
      <c r="S41" s="7">
        <v>1456.31</v>
      </c>
      <c r="T41" s="7">
        <v>109.22</v>
      </c>
      <c r="U41" t="s">
        <v>142</v>
      </c>
      <c r="V41" s="7">
        <v>327.66</v>
      </c>
      <c r="W41">
        <v>160102</v>
      </c>
      <c r="X41">
        <v>160202</v>
      </c>
      <c r="Y41">
        <v>410102</v>
      </c>
    </row>
    <row r="42" spans="1:25">
      <c r="A42" t="s">
        <v>142</v>
      </c>
      <c r="B42" t="s">
        <v>25</v>
      </c>
      <c r="C42" t="s">
        <v>147</v>
      </c>
      <c r="D42" t="s">
        <v>144</v>
      </c>
      <c r="E42" t="s">
        <v>28</v>
      </c>
      <c r="F42" t="str">
        <f t="shared" si="0"/>
        <v>020107-注塑件模具-B11010-1</v>
      </c>
      <c r="G42" t="s">
        <v>148</v>
      </c>
      <c r="H42">
        <v>1</v>
      </c>
      <c r="I42" t="s">
        <v>36</v>
      </c>
      <c r="J42" t="s">
        <v>142</v>
      </c>
      <c r="K42" s="5">
        <v>45566</v>
      </c>
      <c r="L42" t="s">
        <v>31</v>
      </c>
      <c r="M42">
        <v>120</v>
      </c>
      <c r="N42">
        <v>1</v>
      </c>
      <c r="O42" t="s">
        <v>146</v>
      </c>
      <c r="P42" s="7">
        <v>30929.26</v>
      </c>
      <c r="Q42" s="7">
        <v>695.91</v>
      </c>
      <c r="R42" s="7">
        <v>30233.35</v>
      </c>
      <c r="S42" s="7">
        <v>3092.93</v>
      </c>
      <c r="T42" s="7">
        <v>231.97</v>
      </c>
      <c r="U42" t="s">
        <v>142</v>
      </c>
      <c r="V42" s="7">
        <v>695.91</v>
      </c>
      <c r="W42">
        <v>160102</v>
      </c>
      <c r="X42">
        <v>160202</v>
      </c>
      <c r="Y42">
        <v>410102</v>
      </c>
    </row>
    <row r="43" spans="1:25">
      <c r="A43" t="s">
        <v>142</v>
      </c>
      <c r="B43" t="s">
        <v>25</v>
      </c>
      <c r="C43" t="s">
        <v>149</v>
      </c>
      <c r="D43" t="s">
        <v>144</v>
      </c>
      <c r="E43" t="s">
        <v>28</v>
      </c>
      <c r="F43" t="str">
        <f t="shared" si="0"/>
        <v>020108-注塑件模具-B11009-1</v>
      </c>
      <c r="G43" t="s">
        <v>150</v>
      </c>
      <c r="H43">
        <v>1</v>
      </c>
      <c r="I43" t="s">
        <v>36</v>
      </c>
      <c r="J43" t="s">
        <v>142</v>
      </c>
      <c r="K43" s="5">
        <v>45566</v>
      </c>
      <c r="L43" t="s">
        <v>31</v>
      </c>
      <c r="M43">
        <v>120</v>
      </c>
      <c r="N43">
        <v>1</v>
      </c>
      <c r="O43" t="s">
        <v>146</v>
      </c>
      <c r="P43" s="7">
        <v>30929.26</v>
      </c>
      <c r="Q43" s="7">
        <v>695.91</v>
      </c>
      <c r="R43" s="7">
        <v>30233.35</v>
      </c>
      <c r="S43" s="7">
        <v>3092.93</v>
      </c>
      <c r="T43" s="7">
        <v>231.97</v>
      </c>
      <c r="U43" t="s">
        <v>142</v>
      </c>
      <c r="V43" s="7">
        <v>695.91</v>
      </c>
      <c r="W43">
        <v>160102</v>
      </c>
      <c r="X43">
        <v>160202</v>
      </c>
      <c r="Y43">
        <v>410102</v>
      </c>
    </row>
    <row r="44" spans="1:25">
      <c r="A44" t="s">
        <v>142</v>
      </c>
      <c r="B44" t="s">
        <v>25</v>
      </c>
      <c r="C44" t="s">
        <v>151</v>
      </c>
      <c r="D44" t="s">
        <v>144</v>
      </c>
      <c r="E44" t="s">
        <v>28</v>
      </c>
      <c r="F44" t="str">
        <f t="shared" si="0"/>
        <v>020109-注塑件模具-B11008-1</v>
      </c>
      <c r="G44" t="s">
        <v>152</v>
      </c>
      <c r="H44">
        <v>1</v>
      </c>
      <c r="I44" t="s">
        <v>36</v>
      </c>
      <c r="J44" t="s">
        <v>142</v>
      </c>
      <c r="K44" s="5">
        <v>45566</v>
      </c>
      <c r="L44" t="s">
        <v>31</v>
      </c>
      <c r="M44">
        <v>120</v>
      </c>
      <c r="N44">
        <v>1</v>
      </c>
      <c r="O44" t="s">
        <v>146</v>
      </c>
      <c r="P44" s="7">
        <v>30929.26</v>
      </c>
      <c r="Q44" s="7">
        <v>695.91</v>
      </c>
      <c r="R44" s="7">
        <v>30233.35</v>
      </c>
      <c r="S44" s="7">
        <v>3092.93</v>
      </c>
      <c r="T44" s="7">
        <v>231.97</v>
      </c>
      <c r="U44" t="s">
        <v>142</v>
      </c>
      <c r="V44" s="7">
        <v>695.91</v>
      </c>
      <c r="W44">
        <v>160102</v>
      </c>
      <c r="X44">
        <v>160202</v>
      </c>
      <c r="Y44">
        <v>410102</v>
      </c>
    </row>
    <row r="45" spans="1:25">
      <c r="A45" t="s">
        <v>142</v>
      </c>
      <c r="B45" t="s">
        <v>25</v>
      </c>
      <c r="C45" t="s">
        <v>153</v>
      </c>
      <c r="D45" t="s">
        <v>144</v>
      </c>
      <c r="E45" t="s">
        <v>28</v>
      </c>
      <c r="F45" t="str">
        <f t="shared" si="0"/>
        <v>020110-注塑件模具-B11007-1</v>
      </c>
      <c r="G45" t="s">
        <v>154</v>
      </c>
      <c r="H45">
        <v>1</v>
      </c>
      <c r="I45" t="s">
        <v>36</v>
      </c>
      <c r="J45" t="s">
        <v>142</v>
      </c>
      <c r="K45" s="5">
        <v>45566</v>
      </c>
      <c r="L45" t="s">
        <v>31</v>
      </c>
      <c r="M45">
        <v>120</v>
      </c>
      <c r="N45">
        <v>1</v>
      </c>
      <c r="O45" t="s">
        <v>146</v>
      </c>
      <c r="P45" s="7">
        <v>30929.26</v>
      </c>
      <c r="Q45" s="7">
        <v>695.91</v>
      </c>
      <c r="R45" s="7">
        <v>30233.35</v>
      </c>
      <c r="S45" s="7">
        <v>3092.93</v>
      </c>
      <c r="T45" s="7">
        <v>231.97</v>
      </c>
      <c r="U45" t="s">
        <v>142</v>
      </c>
      <c r="V45" s="7">
        <v>695.91</v>
      </c>
      <c r="W45">
        <v>160102</v>
      </c>
      <c r="X45">
        <v>160202</v>
      </c>
      <c r="Y45">
        <v>410102</v>
      </c>
    </row>
    <row r="46" spans="1:25">
      <c r="A46" t="s">
        <v>142</v>
      </c>
      <c r="B46" t="s">
        <v>25</v>
      </c>
      <c r="C46" t="s">
        <v>155</v>
      </c>
      <c r="D46" t="s">
        <v>144</v>
      </c>
      <c r="E46" t="s">
        <v>28</v>
      </c>
      <c r="F46" t="str">
        <f t="shared" si="0"/>
        <v>020111-注塑件模具-B11006-1</v>
      </c>
      <c r="G46" t="s">
        <v>156</v>
      </c>
      <c r="H46">
        <v>1</v>
      </c>
      <c r="I46" t="s">
        <v>36</v>
      </c>
      <c r="J46" t="s">
        <v>142</v>
      </c>
      <c r="K46" s="5">
        <v>45566</v>
      </c>
      <c r="L46" t="s">
        <v>31</v>
      </c>
      <c r="M46">
        <v>120</v>
      </c>
      <c r="N46">
        <v>1</v>
      </c>
      <c r="O46" t="s">
        <v>146</v>
      </c>
      <c r="P46" s="7">
        <v>30929.26</v>
      </c>
      <c r="Q46" s="7">
        <v>695.91</v>
      </c>
      <c r="R46" s="7">
        <v>30233.35</v>
      </c>
      <c r="S46" s="7">
        <v>3092.93</v>
      </c>
      <c r="T46" s="7">
        <v>231.97</v>
      </c>
      <c r="U46" t="s">
        <v>142</v>
      </c>
      <c r="V46" s="7">
        <v>695.91</v>
      </c>
      <c r="W46">
        <v>160102</v>
      </c>
      <c r="X46">
        <v>160202</v>
      </c>
      <c r="Y46">
        <v>410102</v>
      </c>
    </row>
    <row r="47" spans="1:25">
      <c r="A47" t="s">
        <v>142</v>
      </c>
      <c r="B47" t="s">
        <v>25</v>
      </c>
      <c r="C47" t="s">
        <v>157</v>
      </c>
      <c r="D47" t="s">
        <v>144</v>
      </c>
      <c r="E47" t="s">
        <v>28</v>
      </c>
      <c r="F47" t="str">
        <f t="shared" si="0"/>
        <v>020112-注塑件模具-B11005-1</v>
      </c>
      <c r="G47" t="s">
        <v>158</v>
      </c>
      <c r="H47">
        <v>1</v>
      </c>
      <c r="I47" t="s">
        <v>36</v>
      </c>
      <c r="J47" t="s">
        <v>142</v>
      </c>
      <c r="K47" s="5">
        <v>45566</v>
      </c>
      <c r="L47" t="s">
        <v>31</v>
      </c>
      <c r="M47">
        <v>120</v>
      </c>
      <c r="N47">
        <v>1</v>
      </c>
      <c r="O47" t="s">
        <v>146</v>
      </c>
      <c r="P47" s="7">
        <v>30929.26</v>
      </c>
      <c r="Q47" s="7">
        <v>695.91</v>
      </c>
      <c r="R47" s="7">
        <v>30233.35</v>
      </c>
      <c r="S47" s="7">
        <v>3092.93</v>
      </c>
      <c r="T47" s="7">
        <v>231.97</v>
      </c>
      <c r="U47" t="s">
        <v>142</v>
      </c>
      <c r="V47" s="7">
        <v>695.91</v>
      </c>
      <c r="W47">
        <v>160102</v>
      </c>
      <c r="X47">
        <v>160202</v>
      </c>
      <c r="Y47">
        <v>410102</v>
      </c>
    </row>
    <row r="48" spans="1:25">
      <c r="A48" t="s">
        <v>142</v>
      </c>
      <c r="B48" t="s">
        <v>25</v>
      </c>
      <c r="C48" t="s">
        <v>159</v>
      </c>
      <c r="D48" t="s">
        <v>144</v>
      </c>
      <c r="E48" t="s">
        <v>28</v>
      </c>
      <c r="F48" t="str">
        <f t="shared" si="0"/>
        <v>020113-注塑件模具-B11004-1</v>
      </c>
      <c r="G48" t="s">
        <v>160</v>
      </c>
      <c r="H48">
        <v>1</v>
      </c>
      <c r="I48" t="s">
        <v>36</v>
      </c>
      <c r="J48" t="s">
        <v>142</v>
      </c>
      <c r="K48" s="5">
        <v>45566</v>
      </c>
      <c r="L48" t="s">
        <v>31</v>
      </c>
      <c r="M48">
        <v>120</v>
      </c>
      <c r="N48">
        <v>1</v>
      </c>
      <c r="O48" t="s">
        <v>146</v>
      </c>
      <c r="P48" s="7">
        <v>30929.26</v>
      </c>
      <c r="Q48" s="7">
        <v>695.91</v>
      </c>
      <c r="R48" s="7">
        <v>30233.35</v>
      </c>
      <c r="S48" s="7">
        <v>3092.93</v>
      </c>
      <c r="T48" s="7">
        <v>231.97</v>
      </c>
      <c r="U48" t="s">
        <v>142</v>
      </c>
      <c r="V48" s="7">
        <v>695.91</v>
      </c>
      <c r="W48">
        <v>160102</v>
      </c>
      <c r="X48">
        <v>160202</v>
      </c>
      <c r="Y48">
        <v>410102</v>
      </c>
    </row>
    <row r="49" spans="1:25">
      <c r="A49" t="s">
        <v>161</v>
      </c>
      <c r="B49" t="s">
        <v>25</v>
      </c>
      <c r="C49" t="s">
        <v>162</v>
      </c>
      <c r="D49" t="s">
        <v>163</v>
      </c>
      <c r="E49" t="s">
        <v>28</v>
      </c>
      <c r="F49" t="str">
        <f t="shared" si="0"/>
        <v>020114-燃气模块外壳注塑模具--1</v>
      </c>
      <c r="H49">
        <v>1</v>
      </c>
      <c r="I49" t="s">
        <v>36</v>
      </c>
      <c r="J49" t="s">
        <v>161</v>
      </c>
      <c r="K49" s="5">
        <v>45597</v>
      </c>
      <c r="L49" t="s">
        <v>31</v>
      </c>
      <c r="M49">
        <v>120</v>
      </c>
      <c r="N49">
        <v>1</v>
      </c>
      <c r="O49" t="s">
        <v>164</v>
      </c>
      <c r="P49" s="7">
        <v>75270.69</v>
      </c>
      <c r="Q49" s="7">
        <v>1129.06</v>
      </c>
      <c r="R49" s="7">
        <v>74141.63</v>
      </c>
      <c r="S49" s="7">
        <v>7527.07</v>
      </c>
      <c r="T49" s="7">
        <v>564.53</v>
      </c>
      <c r="U49" t="s">
        <v>161</v>
      </c>
      <c r="V49" s="7">
        <v>1129.06</v>
      </c>
      <c r="W49">
        <v>160102</v>
      </c>
      <c r="X49">
        <v>160202</v>
      </c>
      <c r="Y49">
        <v>410102</v>
      </c>
    </row>
    <row r="50" spans="1:25">
      <c r="A50" t="s">
        <v>161</v>
      </c>
      <c r="B50" t="s">
        <v>25</v>
      </c>
      <c r="C50" t="s">
        <v>165</v>
      </c>
      <c r="D50" t="s">
        <v>166</v>
      </c>
      <c r="E50" t="s">
        <v>28</v>
      </c>
      <c r="F50" t="str">
        <f t="shared" si="0"/>
        <v>020115-燃气表外壳注塑模具--1</v>
      </c>
      <c r="H50">
        <v>1</v>
      </c>
      <c r="I50" t="s">
        <v>36</v>
      </c>
      <c r="J50" t="s">
        <v>161</v>
      </c>
      <c r="K50" s="5">
        <v>45597</v>
      </c>
      <c r="L50" t="s">
        <v>31</v>
      </c>
      <c r="M50">
        <v>120</v>
      </c>
      <c r="N50">
        <v>1</v>
      </c>
      <c r="O50" t="s">
        <v>164</v>
      </c>
      <c r="P50" s="7">
        <v>35421.54</v>
      </c>
      <c r="Q50" s="7">
        <v>531.32</v>
      </c>
      <c r="R50" s="7">
        <v>34890.22</v>
      </c>
      <c r="S50" s="7">
        <v>3542.15</v>
      </c>
      <c r="T50" s="7">
        <v>265.66</v>
      </c>
      <c r="U50" t="s">
        <v>161</v>
      </c>
      <c r="V50" s="7">
        <v>531.32</v>
      </c>
      <c r="W50">
        <v>160102</v>
      </c>
      <c r="X50">
        <v>160202</v>
      </c>
      <c r="Y50">
        <v>410102</v>
      </c>
    </row>
    <row r="51" spans="1:25">
      <c r="A51" t="s">
        <v>161</v>
      </c>
      <c r="B51" t="s">
        <v>25</v>
      </c>
      <c r="C51" t="s">
        <v>167</v>
      </c>
      <c r="D51" t="s">
        <v>168</v>
      </c>
      <c r="E51" t="s">
        <v>28</v>
      </c>
      <c r="F51" t="str">
        <f t="shared" si="0"/>
        <v>020116-燃气表外壳硅胶塞--1</v>
      </c>
      <c r="H51">
        <v>1</v>
      </c>
      <c r="I51" t="s">
        <v>36</v>
      </c>
      <c r="J51" t="s">
        <v>161</v>
      </c>
      <c r="K51" s="5">
        <v>45597</v>
      </c>
      <c r="L51" t="s">
        <v>31</v>
      </c>
      <c r="M51">
        <v>120</v>
      </c>
      <c r="N51">
        <v>1</v>
      </c>
      <c r="O51" t="s">
        <v>164</v>
      </c>
      <c r="P51" s="7">
        <v>15496.92</v>
      </c>
      <c r="Q51" s="7">
        <v>232.46</v>
      </c>
      <c r="R51" s="7">
        <v>15264.46</v>
      </c>
      <c r="S51" s="7">
        <v>1549.69</v>
      </c>
      <c r="T51" s="7">
        <v>116.23</v>
      </c>
      <c r="U51" t="s">
        <v>161</v>
      </c>
      <c r="V51" s="7">
        <v>232.46</v>
      </c>
      <c r="W51">
        <v>160102</v>
      </c>
      <c r="X51">
        <v>160202</v>
      </c>
      <c r="Y51">
        <v>410102</v>
      </c>
    </row>
    <row r="52" spans="1:25">
      <c r="A52" t="s">
        <v>161</v>
      </c>
      <c r="B52" t="s">
        <v>25</v>
      </c>
      <c r="C52" t="s">
        <v>169</v>
      </c>
      <c r="D52" t="s">
        <v>170</v>
      </c>
      <c r="E52" t="s">
        <v>28</v>
      </c>
      <c r="F52" t="str">
        <f t="shared" si="0"/>
        <v>020117-透明光导柱--1</v>
      </c>
      <c r="H52">
        <v>1</v>
      </c>
      <c r="I52" t="s">
        <v>36</v>
      </c>
      <c r="J52" t="s">
        <v>161</v>
      </c>
      <c r="K52" s="5">
        <v>45597</v>
      </c>
      <c r="L52" t="s">
        <v>31</v>
      </c>
      <c r="M52">
        <v>120</v>
      </c>
      <c r="N52">
        <v>1</v>
      </c>
      <c r="O52" t="s">
        <v>164</v>
      </c>
      <c r="P52" s="7">
        <v>11069.23</v>
      </c>
      <c r="Q52" s="7">
        <v>166.04</v>
      </c>
      <c r="R52" s="7">
        <v>10903.19</v>
      </c>
      <c r="S52" s="7">
        <v>1106.92</v>
      </c>
      <c r="T52" s="7">
        <v>83.02</v>
      </c>
      <c r="U52" t="s">
        <v>161</v>
      </c>
      <c r="V52" s="7">
        <v>166.04</v>
      </c>
      <c r="W52">
        <v>160102</v>
      </c>
      <c r="X52">
        <v>160202</v>
      </c>
      <c r="Y52">
        <v>410102</v>
      </c>
    </row>
    <row r="53" spans="1:25">
      <c r="A53" t="s">
        <v>161</v>
      </c>
      <c r="B53" t="s">
        <v>25</v>
      </c>
      <c r="C53" t="s">
        <v>171</v>
      </c>
      <c r="D53" t="s">
        <v>172</v>
      </c>
      <c r="E53" t="s">
        <v>28</v>
      </c>
      <c r="F53" t="str">
        <f t="shared" si="0"/>
        <v>020118-燃气表线束连接器模具--1</v>
      </c>
      <c r="H53">
        <v>1</v>
      </c>
      <c r="I53" t="s">
        <v>36</v>
      </c>
      <c r="J53" t="s">
        <v>161</v>
      </c>
      <c r="K53" s="5">
        <v>45597</v>
      </c>
      <c r="L53" t="s">
        <v>31</v>
      </c>
      <c r="M53">
        <v>120</v>
      </c>
      <c r="N53">
        <v>1</v>
      </c>
      <c r="O53" t="s">
        <v>164</v>
      </c>
      <c r="P53" s="7">
        <v>3099.38</v>
      </c>
      <c r="Q53" s="7">
        <v>46.5</v>
      </c>
      <c r="R53" s="7">
        <v>3052.88</v>
      </c>
      <c r="S53" s="7">
        <v>309.94</v>
      </c>
      <c r="T53" s="7">
        <v>23.25</v>
      </c>
      <c r="U53" t="s">
        <v>161</v>
      </c>
      <c r="V53" s="7">
        <v>46.5</v>
      </c>
      <c r="W53">
        <v>160102</v>
      </c>
      <c r="X53">
        <v>160202</v>
      </c>
      <c r="Y53">
        <v>410102</v>
      </c>
    </row>
    <row r="54" spans="1:25">
      <c r="A54" t="s">
        <v>161</v>
      </c>
      <c r="B54" t="s">
        <v>25</v>
      </c>
      <c r="C54" t="s">
        <v>173</v>
      </c>
      <c r="D54" t="s">
        <v>174</v>
      </c>
      <c r="E54" t="s">
        <v>28</v>
      </c>
      <c r="F54" t="str">
        <f t="shared" si="0"/>
        <v>020120-模块盒模具--1</v>
      </c>
      <c r="H54">
        <v>1</v>
      </c>
      <c r="I54" t="s">
        <v>36</v>
      </c>
      <c r="J54" t="s">
        <v>161</v>
      </c>
      <c r="K54" s="5">
        <v>45597</v>
      </c>
      <c r="L54" t="s">
        <v>31</v>
      </c>
      <c r="M54">
        <v>120</v>
      </c>
      <c r="N54">
        <v>1</v>
      </c>
      <c r="O54" t="s">
        <v>164</v>
      </c>
      <c r="P54" s="7">
        <v>72232.23</v>
      </c>
      <c r="Q54" s="7">
        <v>1083.48</v>
      </c>
      <c r="R54" s="7">
        <v>71148.75</v>
      </c>
      <c r="S54" s="7">
        <v>7223.22</v>
      </c>
      <c r="T54" s="7">
        <v>541.74</v>
      </c>
      <c r="U54" t="s">
        <v>161</v>
      </c>
      <c r="V54" s="7">
        <v>1083.48</v>
      </c>
      <c r="W54">
        <v>160102</v>
      </c>
      <c r="X54">
        <v>160202</v>
      </c>
      <c r="Y54">
        <v>410102</v>
      </c>
    </row>
    <row r="55" spans="1:25">
      <c r="A55" t="s">
        <v>175</v>
      </c>
      <c r="B55" t="s">
        <v>25</v>
      </c>
      <c r="C55" t="s">
        <v>176</v>
      </c>
      <c r="D55" t="s">
        <v>138</v>
      </c>
      <c r="E55" t="s">
        <v>28</v>
      </c>
      <c r="F55" t="str">
        <f t="shared" si="0"/>
        <v>020127-三相电能表检验装置-HS-6303E,16表位一体式；精度0.05%；0-100A-1</v>
      </c>
      <c r="G55" t="s">
        <v>177</v>
      </c>
      <c r="H55">
        <v>1</v>
      </c>
      <c r="I55" t="s">
        <v>36</v>
      </c>
      <c r="J55" t="s">
        <v>175</v>
      </c>
      <c r="K55" s="5">
        <v>45658</v>
      </c>
      <c r="L55" t="s">
        <v>31</v>
      </c>
      <c r="M55">
        <v>120</v>
      </c>
      <c r="N55">
        <v>1</v>
      </c>
      <c r="P55" s="7">
        <v>146017.5</v>
      </c>
      <c r="Q55" s="7">
        <v>0</v>
      </c>
      <c r="R55" s="7">
        <v>146017.5</v>
      </c>
      <c r="S55" s="7">
        <v>14601.75</v>
      </c>
      <c r="T55" s="7">
        <v>0</v>
      </c>
      <c r="U55" t="s">
        <v>161</v>
      </c>
      <c r="V55" s="7">
        <v>0</v>
      </c>
      <c r="W55">
        <v>160102</v>
      </c>
      <c r="X55">
        <v>160202</v>
      </c>
      <c r="Y55">
        <v>410102</v>
      </c>
    </row>
    <row r="56" spans="1:25">
      <c r="A56" t="s">
        <v>161</v>
      </c>
      <c r="B56" t="s">
        <v>25</v>
      </c>
      <c r="C56" t="s">
        <v>178</v>
      </c>
      <c r="D56" t="s">
        <v>27</v>
      </c>
      <c r="E56" t="s">
        <v>28</v>
      </c>
      <c r="F56" t="str">
        <f t="shared" si="0"/>
        <v>020128-模具-DM-24W10264外置线束模具-1</v>
      </c>
      <c r="G56" t="s">
        <v>179</v>
      </c>
      <c r="H56">
        <v>1</v>
      </c>
      <c r="I56" t="s">
        <v>30</v>
      </c>
      <c r="J56" t="s">
        <v>161</v>
      </c>
      <c r="K56" s="5">
        <v>45597</v>
      </c>
      <c r="L56" t="s">
        <v>31</v>
      </c>
      <c r="M56">
        <v>120</v>
      </c>
      <c r="N56">
        <v>1</v>
      </c>
      <c r="O56" t="s">
        <v>164</v>
      </c>
      <c r="P56" s="7">
        <v>7800</v>
      </c>
      <c r="Q56" s="7">
        <v>117</v>
      </c>
      <c r="R56" s="7">
        <v>7683</v>
      </c>
      <c r="S56" s="7">
        <v>780</v>
      </c>
      <c r="T56" s="7">
        <v>58.5</v>
      </c>
      <c r="U56" t="s">
        <v>161</v>
      </c>
      <c r="V56" s="7">
        <v>117</v>
      </c>
      <c r="W56">
        <v>160102</v>
      </c>
      <c r="X56">
        <v>160202</v>
      </c>
      <c r="Y56">
        <v>56021701</v>
      </c>
    </row>
    <row r="57" spans="1:25">
      <c r="A57" t="s">
        <v>180</v>
      </c>
      <c r="B57" t="s">
        <v>25</v>
      </c>
      <c r="C57" t="s">
        <v>181</v>
      </c>
      <c r="D57" t="s">
        <v>182</v>
      </c>
      <c r="E57" t="s">
        <v>28</v>
      </c>
      <c r="F57" t="str">
        <f t="shared" si="0"/>
        <v>020129-单相老化车-HS-6125 铝合金 96表位,双面挂 表-60</v>
      </c>
      <c r="G57" t="s">
        <v>183</v>
      </c>
      <c r="H57">
        <v>60</v>
      </c>
      <c r="I57" t="s">
        <v>36</v>
      </c>
      <c r="J57" t="s">
        <v>180</v>
      </c>
      <c r="K57" s="5">
        <v>45658</v>
      </c>
      <c r="L57" t="s">
        <v>31</v>
      </c>
      <c r="M57">
        <v>120</v>
      </c>
      <c r="N57">
        <v>1</v>
      </c>
      <c r="P57" s="7">
        <v>334513.27</v>
      </c>
      <c r="Q57" s="7">
        <v>0</v>
      </c>
      <c r="R57" s="7">
        <v>334513.27</v>
      </c>
      <c r="S57" s="7">
        <v>33451.33</v>
      </c>
      <c r="T57" s="7">
        <v>0</v>
      </c>
      <c r="U57" t="s">
        <v>184</v>
      </c>
      <c r="V57" s="7">
        <v>0</v>
      </c>
      <c r="W57">
        <v>160102</v>
      </c>
      <c r="X57">
        <v>160202</v>
      </c>
      <c r="Y57">
        <v>410102</v>
      </c>
    </row>
    <row r="58" spans="1:25">
      <c r="A58" t="s">
        <v>180</v>
      </c>
      <c r="B58" t="s">
        <v>25</v>
      </c>
      <c r="C58" t="s">
        <v>185</v>
      </c>
      <c r="D58" t="s">
        <v>40</v>
      </c>
      <c r="E58" t="s">
        <v>28</v>
      </c>
      <c r="F58" t="str">
        <f t="shared" si="0"/>
        <v>020130-单相电能表检验装置-HS-6103F,0.05 级,0-100A,48表 位主副台结构-1</v>
      </c>
      <c r="G58" t="s">
        <v>186</v>
      </c>
      <c r="H58">
        <v>1</v>
      </c>
      <c r="I58" t="s">
        <v>36</v>
      </c>
      <c r="J58" t="s">
        <v>180</v>
      </c>
      <c r="K58" s="5">
        <v>45658</v>
      </c>
      <c r="L58" t="s">
        <v>31</v>
      </c>
      <c r="M58">
        <v>120</v>
      </c>
      <c r="N58">
        <v>1</v>
      </c>
      <c r="P58" s="7">
        <v>86725.66</v>
      </c>
      <c r="Q58" s="7">
        <v>0</v>
      </c>
      <c r="R58" s="7">
        <v>86725.66</v>
      </c>
      <c r="S58" s="7">
        <v>8672.57</v>
      </c>
      <c r="T58" s="7">
        <v>0</v>
      </c>
      <c r="U58" t="s">
        <v>184</v>
      </c>
      <c r="V58" s="7">
        <v>0</v>
      </c>
      <c r="W58">
        <v>160102</v>
      </c>
      <c r="X58">
        <v>160202</v>
      </c>
      <c r="Y58">
        <v>410102</v>
      </c>
    </row>
    <row r="59" spans="1:25">
      <c r="A59" t="s">
        <v>175</v>
      </c>
      <c r="B59" t="s">
        <v>25</v>
      </c>
      <c r="C59" t="s">
        <v>187</v>
      </c>
      <c r="D59" t="s">
        <v>188</v>
      </c>
      <c r="E59" t="s">
        <v>28</v>
      </c>
      <c r="F59" t="str">
        <f t="shared" si="0"/>
        <v>020131-单相电能 表检验装置-HS-6103F,0.05 级,0-100A,48表 位主副台结构-1</v>
      </c>
      <c r="G59" t="s">
        <v>186</v>
      </c>
      <c r="H59">
        <v>1</v>
      </c>
      <c r="I59" t="s">
        <v>36</v>
      </c>
      <c r="J59" t="s">
        <v>175</v>
      </c>
      <c r="K59" s="5">
        <v>45658</v>
      </c>
      <c r="L59" t="s">
        <v>31</v>
      </c>
      <c r="M59">
        <v>120</v>
      </c>
      <c r="N59">
        <v>1</v>
      </c>
      <c r="P59" s="7">
        <v>86725.67</v>
      </c>
      <c r="Q59" s="7">
        <v>0</v>
      </c>
      <c r="R59" s="7">
        <v>86725.67</v>
      </c>
      <c r="S59" s="7">
        <v>8672.57</v>
      </c>
      <c r="T59" s="7">
        <v>0</v>
      </c>
      <c r="U59" t="s">
        <v>184</v>
      </c>
      <c r="V59" s="7">
        <v>0</v>
      </c>
      <c r="W59">
        <v>160102</v>
      </c>
      <c r="X59">
        <v>160202</v>
      </c>
      <c r="Y59">
        <v>410102</v>
      </c>
    </row>
    <row r="60" spans="1:25">
      <c r="A60" t="s">
        <v>180</v>
      </c>
      <c r="B60" t="s">
        <v>25</v>
      </c>
      <c r="C60" t="s">
        <v>189</v>
      </c>
      <c r="D60" t="s">
        <v>40</v>
      </c>
      <c r="E60" t="s">
        <v>28</v>
      </c>
      <c r="F60" t="str">
        <f t="shared" si="0"/>
        <v>020132-单相电能表检验装置-HS-3113M 0.02 级,0-100A,3表 位一体式结构-1</v>
      </c>
      <c r="G60" t="s">
        <v>190</v>
      </c>
      <c r="H60">
        <v>1</v>
      </c>
      <c r="I60" t="s">
        <v>36</v>
      </c>
      <c r="J60" t="s">
        <v>180</v>
      </c>
      <c r="K60" s="5">
        <v>45658</v>
      </c>
      <c r="L60" t="s">
        <v>31</v>
      </c>
      <c r="M60">
        <v>120</v>
      </c>
      <c r="N60">
        <v>1</v>
      </c>
      <c r="P60" s="7">
        <v>97345.13</v>
      </c>
      <c r="Q60" s="7">
        <v>0</v>
      </c>
      <c r="R60" s="7">
        <v>97345.13</v>
      </c>
      <c r="S60" s="7">
        <v>9734.51</v>
      </c>
      <c r="T60" s="7">
        <v>0</v>
      </c>
      <c r="U60" t="s">
        <v>184</v>
      </c>
      <c r="V60" s="7">
        <v>0</v>
      </c>
      <c r="W60">
        <v>160102</v>
      </c>
      <c r="X60">
        <v>160202</v>
      </c>
      <c r="Y60">
        <v>410102</v>
      </c>
    </row>
    <row r="61" spans="1:25">
      <c r="A61" t="s">
        <v>180</v>
      </c>
      <c r="B61" t="s">
        <v>25</v>
      </c>
      <c r="C61" t="s">
        <v>191</v>
      </c>
      <c r="D61" t="s">
        <v>192</v>
      </c>
      <c r="E61" t="s">
        <v>28</v>
      </c>
      <c r="F61" t="str">
        <f t="shared" si="0"/>
        <v>020133-负荷开关检测设备-HS-6403MS 0.05 级,0-100A,6表 位-1</v>
      </c>
      <c r="G61" t="s">
        <v>193</v>
      </c>
      <c r="H61">
        <v>1</v>
      </c>
      <c r="I61" t="s">
        <v>36</v>
      </c>
      <c r="J61" t="s">
        <v>180</v>
      </c>
      <c r="K61" s="5">
        <v>45658</v>
      </c>
      <c r="L61" t="s">
        <v>31</v>
      </c>
      <c r="M61">
        <v>120</v>
      </c>
      <c r="N61">
        <v>1</v>
      </c>
      <c r="P61" s="7">
        <v>84955.75</v>
      </c>
      <c r="Q61" s="7">
        <v>0</v>
      </c>
      <c r="R61" s="7">
        <v>84955.75</v>
      </c>
      <c r="S61" s="7">
        <v>8495.58</v>
      </c>
      <c r="T61" s="7">
        <v>0</v>
      </c>
      <c r="U61" t="s">
        <v>184</v>
      </c>
      <c r="V61" s="7">
        <v>0</v>
      </c>
      <c r="W61">
        <v>160102</v>
      </c>
      <c r="X61">
        <v>160202</v>
      </c>
      <c r="Y61">
        <v>410102</v>
      </c>
    </row>
    <row r="62" spans="1:25">
      <c r="A62" t="s">
        <v>180</v>
      </c>
      <c r="B62" t="s">
        <v>25</v>
      </c>
      <c r="C62" t="s">
        <v>194</v>
      </c>
      <c r="D62" t="s">
        <v>195</v>
      </c>
      <c r="E62" t="s">
        <v>28</v>
      </c>
      <c r="F62" t="str">
        <f t="shared" si="0"/>
        <v>020134-电源跌落试验装置-HS-6418A;电源 影响试验装置-1</v>
      </c>
      <c r="G62" t="s">
        <v>196</v>
      </c>
      <c r="H62">
        <v>1</v>
      </c>
      <c r="I62" t="s">
        <v>36</v>
      </c>
      <c r="J62" t="s">
        <v>180</v>
      </c>
      <c r="K62" s="5">
        <v>45658</v>
      </c>
      <c r="L62" t="s">
        <v>31</v>
      </c>
      <c r="M62">
        <v>120</v>
      </c>
      <c r="N62">
        <v>1</v>
      </c>
      <c r="P62" s="7">
        <v>26548.67</v>
      </c>
      <c r="Q62" s="7">
        <v>0</v>
      </c>
      <c r="R62" s="7">
        <v>26548.67</v>
      </c>
      <c r="S62" s="7">
        <v>2654.87</v>
      </c>
      <c r="T62" s="7">
        <v>0</v>
      </c>
      <c r="U62" t="s">
        <v>184</v>
      </c>
      <c r="V62" s="7">
        <v>0</v>
      </c>
      <c r="W62">
        <v>160102</v>
      </c>
      <c r="X62">
        <v>160202</v>
      </c>
      <c r="Y62">
        <v>410102</v>
      </c>
    </row>
    <row r="63" spans="1:25">
      <c r="A63" t="s">
        <v>180</v>
      </c>
      <c r="B63" t="s">
        <v>25</v>
      </c>
      <c r="C63" t="s">
        <v>197</v>
      </c>
      <c r="D63" t="s">
        <v>198</v>
      </c>
      <c r="E63" t="s">
        <v>28</v>
      </c>
      <c r="F63" t="str">
        <f t="shared" si="0"/>
        <v>020135-交流耐压试验装置-单相耐压装置, HS-6121-1</v>
      </c>
      <c r="G63" t="s">
        <v>199</v>
      </c>
      <c r="H63">
        <v>1</v>
      </c>
      <c r="I63" t="s">
        <v>36</v>
      </c>
      <c r="J63" t="s">
        <v>180</v>
      </c>
      <c r="K63" s="5">
        <v>45658</v>
      </c>
      <c r="L63" t="s">
        <v>31</v>
      </c>
      <c r="M63">
        <v>120</v>
      </c>
      <c r="N63">
        <v>1</v>
      </c>
      <c r="P63" s="7">
        <v>8849.55</v>
      </c>
      <c r="Q63" s="7">
        <v>0</v>
      </c>
      <c r="R63" s="7">
        <v>8849.55</v>
      </c>
      <c r="S63" s="7">
        <v>884.96</v>
      </c>
      <c r="T63" s="7">
        <v>0</v>
      </c>
      <c r="U63" t="s">
        <v>184</v>
      </c>
      <c r="V63" s="7">
        <v>0</v>
      </c>
      <c r="W63">
        <v>160102</v>
      </c>
      <c r="X63">
        <v>160202</v>
      </c>
      <c r="Y63">
        <v>410102</v>
      </c>
    </row>
    <row r="64" spans="1:25">
      <c r="A64" t="s">
        <v>180</v>
      </c>
      <c r="B64" t="s">
        <v>25</v>
      </c>
      <c r="C64" t="s">
        <v>200</v>
      </c>
      <c r="D64" t="s">
        <v>201</v>
      </c>
      <c r="E64" t="s">
        <v>28</v>
      </c>
      <c r="F64" t="str">
        <f t="shared" si="0"/>
        <v>020136-时钟测试设备-HS-1012C,时钟 测试仪,准确度 2*10-7/s-1</v>
      </c>
      <c r="G64" t="s">
        <v>202</v>
      </c>
      <c r="H64">
        <v>1</v>
      </c>
      <c r="I64" t="s">
        <v>36</v>
      </c>
      <c r="J64" t="s">
        <v>180</v>
      </c>
      <c r="K64" s="5">
        <v>45658</v>
      </c>
      <c r="L64" t="s">
        <v>31</v>
      </c>
      <c r="M64">
        <v>120</v>
      </c>
      <c r="N64">
        <v>1</v>
      </c>
      <c r="P64" s="7">
        <v>3539.82</v>
      </c>
      <c r="Q64" s="7">
        <v>0</v>
      </c>
      <c r="R64" s="7">
        <v>3539.82</v>
      </c>
      <c r="S64" s="7">
        <v>353.98</v>
      </c>
      <c r="T64" s="7">
        <v>0</v>
      </c>
      <c r="U64" t="s">
        <v>184</v>
      </c>
      <c r="V64" s="7">
        <v>0</v>
      </c>
      <c r="W64">
        <v>160102</v>
      </c>
      <c r="X64">
        <v>160202</v>
      </c>
      <c r="Y64">
        <v>410102</v>
      </c>
    </row>
    <row r="65" spans="1:25">
      <c r="A65" t="s">
        <v>180</v>
      </c>
      <c r="B65" t="s">
        <v>25</v>
      </c>
      <c r="C65" t="s">
        <v>203</v>
      </c>
      <c r="D65" t="s">
        <v>204</v>
      </c>
      <c r="E65" t="s">
        <v>28</v>
      </c>
      <c r="F65" t="str">
        <f t="shared" si="0"/>
        <v>020137-直流和偶次试验设备-HS-1016;直流偶 次谐波测试仪-1</v>
      </c>
      <c r="G65" t="s">
        <v>205</v>
      </c>
      <c r="H65">
        <v>1</v>
      </c>
      <c r="I65" t="s">
        <v>36</v>
      </c>
      <c r="J65" t="s">
        <v>180</v>
      </c>
      <c r="K65" s="5">
        <v>45658</v>
      </c>
      <c r="L65" t="s">
        <v>31</v>
      </c>
      <c r="M65">
        <v>120</v>
      </c>
      <c r="N65">
        <v>1</v>
      </c>
      <c r="P65" s="7">
        <v>10619.47</v>
      </c>
      <c r="Q65" s="7">
        <v>0</v>
      </c>
      <c r="R65" s="7">
        <v>10619.47</v>
      </c>
      <c r="S65" s="7">
        <v>1061.95</v>
      </c>
      <c r="T65" s="7">
        <v>0</v>
      </c>
      <c r="U65" t="s">
        <v>184</v>
      </c>
      <c r="V65" s="7">
        <v>0</v>
      </c>
      <c r="W65">
        <v>160102</v>
      </c>
      <c r="X65">
        <v>160202</v>
      </c>
      <c r="Y65">
        <v>410102</v>
      </c>
    </row>
    <row r="66" spans="1:25">
      <c r="A66" t="s">
        <v>180</v>
      </c>
      <c r="B66" t="s">
        <v>25</v>
      </c>
      <c r="C66" t="s">
        <v>206</v>
      </c>
      <c r="D66" t="s">
        <v>207</v>
      </c>
      <c r="E66" t="s">
        <v>28</v>
      </c>
      <c r="F66" t="str">
        <f t="shared" si="0"/>
        <v>020138-功率消耗测试装置-HS-1011;功耗测 试仪-1</v>
      </c>
      <c r="G66" t="s">
        <v>208</v>
      </c>
      <c r="H66">
        <v>1</v>
      </c>
      <c r="I66" t="s">
        <v>36</v>
      </c>
      <c r="J66" t="s">
        <v>180</v>
      </c>
      <c r="K66" s="5">
        <v>45658</v>
      </c>
      <c r="L66" t="s">
        <v>31</v>
      </c>
      <c r="M66">
        <v>120</v>
      </c>
      <c r="N66">
        <v>1</v>
      </c>
      <c r="P66" s="7">
        <v>5309.73</v>
      </c>
      <c r="Q66" s="7">
        <v>0</v>
      </c>
      <c r="R66" s="7">
        <v>5309.73</v>
      </c>
      <c r="S66" s="7">
        <v>530.97</v>
      </c>
      <c r="T66" s="7">
        <v>0</v>
      </c>
      <c r="U66" t="s">
        <v>184</v>
      </c>
      <c r="V66" s="7">
        <v>0</v>
      </c>
      <c r="W66">
        <v>160102</v>
      </c>
      <c r="X66">
        <v>160202</v>
      </c>
      <c r="Y66">
        <v>410102</v>
      </c>
    </row>
    <row r="67" spans="1:25">
      <c r="A67" t="s">
        <v>180</v>
      </c>
      <c r="B67" t="s">
        <v>25</v>
      </c>
      <c r="C67" t="s">
        <v>209</v>
      </c>
      <c r="D67" t="s">
        <v>210</v>
      </c>
      <c r="E67" t="s">
        <v>28</v>
      </c>
      <c r="F67" t="str">
        <f t="shared" ref="F67:F130" si="1">C67&amp;E67&amp;D67&amp;E67&amp;G67&amp;E67&amp;H67</f>
        <v>020139-单相老化源-HS-6125单相柜 式老化源,电流 10A-1</v>
      </c>
      <c r="G67" t="s">
        <v>211</v>
      </c>
      <c r="H67">
        <v>1</v>
      </c>
      <c r="I67" t="s">
        <v>36</v>
      </c>
      <c r="J67" t="s">
        <v>180</v>
      </c>
      <c r="K67" s="5">
        <v>45658</v>
      </c>
      <c r="L67" t="s">
        <v>31</v>
      </c>
      <c r="M67">
        <v>120</v>
      </c>
      <c r="N67">
        <v>1</v>
      </c>
      <c r="P67" s="7">
        <v>35398.23</v>
      </c>
      <c r="Q67" s="7">
        <v>0</v>
      </c>
      <c r="R67" s="7">
        <v>35398.23</v>
      </c>
      <c r="S67" s="7">
        <v>3539.82</v>
      </c>
      <c r="T67" s="7">
        <v>0</v>
      </c>
      <c r="U67" t="s">
        <v>184</v>
      </c>
      <c r="V67" s="7">
        <v>0</v>
      </c>
      <c r="W67">
        <v>160102</v>
      </c>
      <c r="X67">
        <v>160202</v>
      </c>
      <c r="Y67">
        <v>410102</v>
      </c>
    </row>
    <row r="68" spans="1:25">
      <c r="A68" t="s">
        <v>212</v>
      </c>
      <c r="B68" t="s">
        <v>25</v>
      </c>
      <c r="C68" t="s">
        <v>213</v>
      </c>
      <c r="D68" t="s">
        <v>214</v>
      </c>
      <c r="E68" t="s">
        <v>28</v>
      </c>
      <c r="F68" t="str">
        <f t="shared" si="1"/>
        <v>020140-射频传导设备-CST 1075-1</v>
      </c>
      <c r="G68" t="s">
        <v>215</v>
      </c>
      <c r="H68">
        <v>1</v>
      </c>
      <c r="I68" t="s">
        <v>36</v>
      </c>
      <c r="J68" t="s">
        <v>212</v>
      </c>
      <c r="K68" s="5">
        <v>45658</v>
      </c>
      <c r="L68" t="s">
        <v>31</v>
      </c>
      <c r="M68">
        <v>120</v>
      </c>
      <c r="N68">
        <v>1</v>
      </c>
      <c r="P68" s="7">
        <v>113274.34</v>
      </c>
      <c r="Q68" s="7">
        <v>0</v>
      </c>
      <c r="R68" s="7">
        <v>113274.34</v>
      </c>
      <c r="S68" s="7">
        <v>11327.43</v>
      </c>
      <c r="T68" s="7">
        <v>0</v>
      </c>
      <c r="U68" t="s">
        <v>212</v>
      </c>
      <c r="V68" s="7">
        <v>0</v>
      </c>
      <c r="W68">
        <v>160102</v>
      </c>
      <c r="X68">
        <v>160202</v>
      </c>
      <c r="Y68">
        <v>410102</v>
      </c>
    </row>
    <row r="69" spans="1:25">
      <c r="A69" t="s">
        <v>212</v>
      </c>
      <c r="B69" t="s">
        <v>25</v>
      </c>
      <c r="C69" t="s">
        <v>216</v>
      </c>
      <c r="D69" t="s">
        <v>217</v>
      </c>
      <c r="E69" t="s">
        <v>28</v>
      </c>
      <c r="F69" t="str">
        <f t="shared" si="1"/>
        <v>020141-衰减器-AT80-1</v>
      </c>
      <c r="G69" t="s">
        <v>218</v>
      </c>
      <c r="H69">
        <v>1</v>
      </c>
      <c r="I69" t="s">
        <v>36</v>
      </c>
      <c r="J69" t="s">
        <v>212</v>
      </c>
      <c r="K69" s="5">
        <v>45658</v>
      </c>
      <c r="L69" t="s">
        <v>31</v>
      </c>
      <c r="M69">
        <v>120</v>
      </c>
      <c r="N69">
        <v>1</v>
      </c>
      <c r="P69" s="7">
        <v>3097.35</v>
      </c>
      <c r="Q69" s="7">
        <v>0</v>
      </c>
      <c r="R69" s="7">
        <v>3097.35</v>
      </c>
      <c r="S69" s="7">
        <v>309.74</v>
      </c>
      <c r="T69" s="7">
        <v>0</v>
      </c>
      <c r="U69" t="s">
        <v>212</v>
      </c>
      <c r="V69" s="7">
        <v>0</v>
      </c>
      <c r="W69">
        <v>160102</v>
      </c>
      <c r="X69">
        <v>160202</v>
      </c>
      <c r="Y69">
        <v>410102</v>
      </c>
    </row>
    <row r="70" spans="1:25">
      <c r="A70" t="s">
        <v>212</v>
      </c>
      <c r="B70" t="s">
        <v>25</v>
      </c>
      <c r="C70" t="s">
        <v>219</v>
      </c>
      <c r="D70" t="s">
        <v>220</v>
      </c>
      <c r="E70" t="s">
        <v>28</v>
      </c>
      <c r="F70" t="str">
        <f t="shared" si="1"/>
        <v>020142-耦合去耦网络-CDN M2M3-1</v>
      </c>
      <c r="G70" t="s">
        <v>221</v>
      </c>
      <c r="H70">
        <v>1</v>
      </c>
      <c r="I70" t="s">
        <v>36</v>
      </c>
      <c r="J70" t="s">
        <v>212</v>
      </c>
      <c r="K70" s="5">
        <v>45658</v>
      </c>
      <c r="L70" t="s">
        <v>31</v>
      </c>
      <c r="M70">
        <v>120</v>
      </c>
      <c r="N70">
        <v>1</v>
      </c>
      <c r="P70" s="7">
        <v>4424.78</v>
      </c>
      <c r="Q70" s="7">
        <v>0</v>
      </c>
      <c r="R70" s="7">
        <v>4424.78</v>
      </c>
      <c r="S70" s="7">
        <v>442.48</v>
      </c>
      <c r="T70" s="7">
        <v>0</v>
      </c>
      <c r="U70" t="s">
        <v>212</v>
      </c>
      <c r="V70" s="7">
        <v>0</v>
      </c>
      <c r="W70">
        <v>160102</v>
      </c>
      <c r="X70">
        <v>160202</v>
      </c>
      <c r="Y70">
        <v>410102</v>
      </c>
    </row>
    <row r="71" spans="1:25">
      <c r="A71" t="s">
        <v>212</v>
      </c>
      <c r="B71" t="s">
        <v>25</v>
      </c>
      <c r="C71" t="s">
        <v>222</v>
      </c>
      <c r="D71" t="s">
        <v>220</v>
      </c>
      <c r="E71" t="s">
        <v>28</v>
      </c>
      <c r="F71" t="str">
        <f t="shared" si="1"/>
        <v>020143-耦合去耦网络-CDN M4N-1</v>
      </c>
      <c r="G71" t="s">
        <v>223</v>
      </c>
      <c r="H71">
        <v>1</v>
      </c>
      <c r="I71" t="s">
        <v>36</v>
      </c>
      <c r="J71" t="s">
        <v>212</v>
      </c>
      <c r="K71" s="5">
        <v>45658</v>
      </c>
      <c r="L71" t="s">
        <v>31</v>
      </c>
      <c r="M71">
        <v>120</v>
      </c>
      <c r="N71">
        <v>1</v>
      </c>
      <c r="P71" s="7">
        <v>5752.21</v>
      </c>
      <c r="Q71" s="7">
        <v>0</v>
      </c>
      <c r="R71" s="7">
        <v>5752.21</v>
      </c>
      <c r="S71" s="7">
        <v>575.22</v>
      </c>
      <c r="T71" s="7">
        <v>0</v>
      </c>
      <c r="U71" t="s">
        <v>212</v>
      </c>
      <c r="V71" s="7">
        <v>0</v>
      </c>
      <c r="W71">
        <v>160102</v>
      </c>
      <c r="X71">
        <v>160202</v>
      </c>
      <c r="Y71">
        <v>410102</v>
      </c>
    </row>
    <row r="72" spans="1:25">
      <c r="A72" t="s">
        <v>212</v>
      </c>
      <c r="B72" t="s">
        <v>25</v>
      </c>
      <c r="C72" t="s">
        <v>224</v>
      </c>
      <c r="D72" t="s">
        <v>220</v>
      </c>
      <c r="E72" t="s">
        <v>28</v>
      </c>
      <c r="F72" t="str">
        <f t="shared" si="1"/>
        <v>020144-耦合去耦网络-CDN M5-1</v>
      </c>
      <c r="G72" t="s">
        <v>225</v>
      </c>
      <c r="H72">
        <v>1</v>
      </c>
      <c r="I72" t="s">
        <v>36</v>
      </c>
      <c r="J72" t="s">
        <v>212</v>
      </c>
      <c r="K72" s="5">
        <v>45658</v>
      </c>
      <c r="L72" t="s">
        <v>31</v>
      </c>
      <c r="M72">
        <v>120</v>
      </c>
      <c r="N72">
        <v>1</v>
      </c>
      <c r="P72" s="7">
        <v>8407.07</v>
      </c>
      <c r="Q72" s="7">
        <v>0</v>
      </c>
      <c r="R72" s="7">
        <v>8407.07</v>
      </c>
      <c r="S72" s="7">
        <v>840.71</v>
      </c>
      <c r="T72" s="7">
        <v>0</v>
      </c>
      <c r="U72" t="s">
        <v>212</v>
      </c>
      <c r="V72" s="7">
        <v>0</v>
      </c>
      <c r="W72">
        <v>160102</v>
      </c>
      <c r="X72">
        <v>160202</v>
      </c>
      <c r="Y72">
        <v>410102</v>
      </c>
    </row>
    <row r="73" spans="1:25">
      <c r="A73" t="s">
        <v>212</v>
      </c>
      <c r="B73" t="s">
        <v>25</v>
      </c>
      <c r="C73" t="s">
        <v>226</v>
      </c>
      <c r="D73" t="s">
        <v>227</v>
      </c>
      <c r="E73" t="s">
        <v>28</v>
      </c>
      <c r="F73" t="str">
        <f t="shared" si="1"/>
        <v>020145-电磁钳-EMCL-1</v>
      </c>
      <c r="G73" t="s">
        <v>228</v>
      </c>
      <c r="H73">
        <v>1</v>
      </c>
      <c r="I73" t="s">
        <v>36</v>
      </c>
      <c r="J73" t="s">
        <v>212</v>
      </c>
      <c r="K73" s="5">
        <v>45658</v>
      </c>
      <c r="L73" t="s">
        <v>31</v>
      </c>
      <c r="M73">
        <v>120</v>
      </c>
      <c r="N73">
        <v>1</v>
      </c>
      <c r="P73" s="7">
        <v>13274.34</v>
      </c>
      <c r="Q73" s="7">
        <v>0</v>
      </c>
      <c r="R73" s="7">
        <v>13274.34</v>
      </c>
      <c r="S73" s="7">
        <v>1327.43</v>
      </c>
      <c r="T73" s="7">
        <v>0</v>
      </c>
      <c r="U73" t="s">
        <v>212</v>
      </c>
      <c r="V73" s="7">
        <v>0</v>
      </c>
      <c r="W73">
        <v>160102</v>
      </c>
      <c r="X73">
        <v>160202</v>
      </c>
      <c r="Y73">
        <v>410102</v>
      </c>
    </row>
    <row r="74" spans="1:25">
      <c r="A74" t="s">
        <v>212</v>
      </c>
      <c r="B74" t="s">
        <v>25</v>
      </c>
      <c r="C74" t="s">
        <v>229</v>
      </c>
      <c r="D74" t="s">
        <v>230</v>
      </c>
      <c r="E74" t="s">
        <v>28</v>
      </c>
      <c r="F74" t="str">
        <f t="shared" si="1"/>
        <v>020146-耦合去耦网络附件-CDN 100KIT-1</v>
      </c>
      <c r="G74" t="s">
        <v>231</v>
      </c>
      <c r="H74">
        <v>1</v>
      </c>
      <c r="I74" t="s">
        <v>36</v>
      </c>
      <c r="J74" t="s">
        <v>212</v>
      </c>
      <c r="K74" s="5">
        <v>45658</v>
      </c>
      <c r="L74" t="s">
        <v>31</v>
      </c>
      <c r="M74">
        <v>120</v>
      </c>
      <c r="N74">
        <v>1</v>
      </c>
      <c r="P74" s="7">
        <v>1327.43</v>
      </c>
      <c r="Q74" s="7">
        <v>0</v>
      </c>
      <c r="R74" s="7">
        <v>1327.43</v>
      </c>
      <c r="S74" s="7">
        <v>132.74</v>
      </c>
      <c r="T74" s="7">
        <v>0</v>
      </c>
      <c r="U74" t="s">
        <v>212</v>
      </c>
      <c r="V74" s="7">
        <v>0</v>
      </c>
      <c r="W74">
        <v>160102</v>
      </c>
      <c r="X74">
        <v>160202</v>
      </c>
      <c r="Y74">
        <v>410102</v>
      </c>
    </row>
    <row r="75" spans="1:25">
      <c r="A75" t="s">
        <v>212</v>
      </c>
      <c r="B75" t="s">
        <v>25</v>
      </c>
      <c r="C75" t="s">
        <v>232</v>
      </c>
      <c r="D75" t="s">
        <v>230</v>
      </c>
      <c r="E75" t="s">
        <v>28</v>
      </c>
      <c r="F75" t="str">
        <f t="shared" si="1"/>
        <v>020147-耦合去耦网络附件-CDN 100KIT-1</v>
      </c>
      <c r="G75" t="s">
        <v>231</v>
      </c>
      <c r="H75">
        <v>1</v>
      </c>
      <c r="I75" t="s">
        <v>36</v>
      </c>
      <c r="J75" t="s">
        <v>212</v>
      </c>
      <c r="K75" s="5">
        <v>45658</v>
      </c>
      <c r="L75" t="s">
        <v>31</v>
      </c>
      <c r="M75">
        <v>120</v>
      </c>
      <c r="N75">
        <v>1</v>
      </c>
      <c r="P75" s="7">
        <v>1327.43</v>
      </c>
      <c r="Q75" s="7">
        <v>0</v>
      </c>
      <c r="R75" s="7">
        <v>1327.43</v>
      </c>
      <c r="S75" s="7">
        <v>132.74</v>
      </c>
      <c r="T75" s="7">
        <v>0</v>
      </c>
      <c r="U75" t="s">
        <v>212</v>
      </c>
      <c r="V75" s="7">
        <v>0</v>
      </c>
      <c r="W75">
        <v>160102</v>
      </c>
      <c r="X75">
        <v>160202</v>
      </c>
      <c r="Y75">
        <v>410102</v>
      </c>
    </row>
    <row r="76" spans="1:25">
      <c r="A76" t="s">
        <v>212</v>
      </c>
      <c r="B76" t="s">
        <v>25</v>
      </c>
      <c r="C76" t="s">
        <v>233</v>
      </c>
      <c r="D76" t="s">
        <v>234</v>
      </c>
      <c r="E76" t="s">
        <v>28</v>
      </c>
      <c r="F76" t="str">
        <f t="shared" si="1"/>
        <v>020148-实木测试桌-ESD-T-1</v>
      </c>
      <c r="G76" t="s">
        <v>235</v>
      </c>
      <c r="H76">
        <v>1</v>
      </c>
      <c r="I76" t="s">
        <v>36</v>
      </c>
      <c r="J76" t="s">
        <v>212</v>
      </c>
      <c r="K76" s="5">
        <v>45658</v>
      </c>
      <c r="L76" t="s">
        <v>31</v>
      </c>
      <c r="M76">
        <v>120</v>
      </c>
      <c r="N76">
        <v>1</v>
      </c>
      <c r="P76" s="7">
        <v>3097.34</v>
      </c>
      <c r="Q76" s="7">
        <v>0</v>
      </c>
      <c r="R76" s="7">
        <v>3097.34</v>
      </c>
      <c r="S76" s="7">
        <v>309.73</v>
      </c>
      <c r="T76" s="7">
        <v>0</v>
      </c>
      <c r="U76" t="s">
        <v>212</v>
      </c>
      <c r="V76" s="7">
        <v>0</v>
      </c>
      <c r="W76">
        <v>160102</v>
      </c>
      <c r="X76">
        <v>160202</v>
      </c>
      <c r="Y76">
        <v>410102</v>
      </c>
    </row>
    <row r="77" spans="1:25">
      <c r="A77" t="s">
        <v>212</v>
      </c>
      <c r="B77" t="s">
        <v>25</v>
      </c>
      <c r="C77" t="s">
        <v>236</v>
      </c>
      <c r="D77" t="s">
        <v>237</v>
      </c>
      <c r="E77" t="s">
        <v>28</v>
      </c>
      <c r="F77" t="str">
        <f t="shared" si="1"/>
        <v>020149-参考接地板-ESD-CD-1</v>
      </c>
      <c r="G77" t="s">
        <v>238</v>
      </c>
      <c r="H77">
        <v>1</v>
      </c>
      <c r="I77" t="s">
        <v>36</v>
      </c>
      <c r="J77" t="s">
        <v>212</v>
      </c>
      <c r="K77" s="5">
        <v>45658</v>
      </c>
      <c r="L77" t="s">
        <v>31</v>
      </c>
      <c r="M77">
        <v>120</v>
      </c>
      <c r="N77">
        <v>1</v>
      </c>
      <c r="P77" s="7">
        <v>442.47</v>
      </c>
      <c r="Q77" s="7">
        <v>0</v>
      </c>
      <c r="R77" s="7">
        <v>442.47</v>
      </c>
      <c r="S77" s="7">
        <v>44.25</v>
      </c>
      <c r="T77" s="7">
        <v>0</v>
      </c>
      <c r="U77" t="s">
        <v>212</v>
      </c>
      <c r="V77" s="7">
        <v>0</v>
      </c>
      <c r="W77">
        <v>160102</v>
      </c>
      <c r="X77">
        <v>160202</v>
      </c>
      <c r="Y77">
        <v>410102</v>
      </c>
    </row>
    <row r="78" spans="1:25">
      <c r="A78" t="s">
        <v>212</v>
      </c>
      <c r="B78" t="s">
        <v>25</v>
      </c>
      <c r="C78" t="s">
        <v>239</v>
      </c>
      <c r="D78" t="s">
        <v>240</v>
      </c>
      <c r="E78" t="s">
        <v>28</v>
      </c>
      <c r="F78" t="str">
        <f t="shared" si="1"/>
        <v>020150-操作软件-EMC-S/-4-6-1</v>
      </c>
      <c r="G78" t="s">
        <v>241</v>
      </c>
      <c r="H78">
        <v>1</v>
      </c>
      <c r="I78" t="s">
        <v>36</v>
      </c>
      <c r="J78" t="s">
        <v>212</v>
      </c>
      <c r="K78" s="5">
        <v>45658</v>
      </c>
      <c r="L78" t="s">
        <v>31</v>
      </c>
      <c r="M78">
        <v>120</v>
      </c>
      <c r="N78">
        <v>1</v>
      </c>
      <c r="P78" s="7">
        <v>2654.87</v>
      </c>
      <c r="Q78" s="7">
        <v>0</v>
      </c>
      <c r="R78" s="7">
        <v>2654.87</v>
      </c>
      <c r="S78" s="7">
        <v>265.49</v>
      </c>
      <c r="T78" s="7">
        <v>0</v>
      </c>
      <c r="U78" t="s">
        <v>212</v>
      </c>
      <c r="V78" s="7">
        <v>0</v>
      </c>
      <c r="W78">
        <v>160102</v>
      </c>
      <c r="X78">
        <v>160202</v>
      </c>
      <c r="Y78">
        <v>410102</v>
      </c>
    </row>
    <row r="79" spans="1:25">
      <c r="A79" t="s">
        <v>212</v>
      </c>
      <c r="B79" t="s">
        <v>25</v>
      </c>
      <c r="C79" t="s">
        <v>242</v>
      </c>
      <c r="D79" t="s">
        <v>243</v>
      </c>
      <c r="E79" t="s">
        <v>28</v>
      </c>
      <c r="F79" t="str">
        <f t="shared" si="1"/>
        <v>020151-控制电脑-PC-1</v>
      </c>
      <c r="G79" t="s">
        <v>244</v>
      </c>
      <c r="H79">
        <v>1</v>
      </c>
      <c r="I79" t="s">
        <v>36</v>
      </c>
      <c r="J79" t="s">
        <v>212</v>
      </c>
      <c r="K79" s="5">
        <v>45658</v>
      </c>
      <c r="L79" t="s">
        <v>31</v>
      </c>
      <c r="M79">
        <v>120</v>
      </c>
      <c r="N79">
        <v>1</v>
      </c>
      <c r="P79" s="7">
        <v>4424.78</v>
      </c>
      <c r="Q79" s="7">
        <v>0</v>
      </c>
      <c r="R79" s="7">
        <v>4424.78</v>
      </c>
      <c r="S79" s="7">
        <v>442.48</v>
      </c>
      <c r="T79" s="7">
        <v>0</v>
      </c>
      <c r="U79" t="s">
        <v>212</v>
      </c>
      <c r="V79" s="7">
        <v>0</v>
      </c>
      <c r="W79">
        <v>160102</v>
      </c>
      <c r="X79">
        <v>160202</v>
      </c>
      <c r="Y79">
        <v>410102</v>
      </c>
    </row>
    <row r="80" spans="1:25">
      <c r="A80" t="s">
        <v>212</v>
      </c>
      <c r="B80" t="s">
        <v>25</v>
      </c>
      <c r="C80" t="s">
        <v>245</v>
      </c>
      <c r="D80" t="s">
        <v>246</v>
      </c>
      <c r="E80" t="s">
        <v>28</v>
      </c>
      <c r="F80" t="str">
        <f t="shared" si="1"/>
        <v>020152-外磁场试验装置-MFS 1200 MFT  1200-1</v>
      </c>
      <c r="G80" t="s">
        <v>247</v>
      </c>
      <c r="H80">
        <v>1</v>
      </c>
      <c r="I80" t="s">
        <v>36</v>
      </c>
      <c r="J80" t="s">
        <v>212</v>
      </c>
      <c r="K80" s="5">
        <v>45658</v>
      </c>
      <c r="L80" t="s">
        <v>31</v>
      </c>
      <c r="M80">
        <v>120</v>
      </c>
      <c r="N80">
        <v>1</v>
      </c>
      <c r="P80" s="7">
        <v>31858.41</v>
      </c>
      <c r="Q80" s="7">
        <v>0</v>
      </c>
      <c r="R80" s="7">
        <v>31858.41</v>
      </c>
      <c r="S80" s="7">
        <v>3185.84</v>
      </c>
      <c r="T80" s="7">
        <v>0</v>
      </c>
      <c r="U80" t="s">
        <v>212</v>
      </c>
      <c r="V80" s="7">
        <v>0</v>
      </c>
      <c r="W80">
        <v>160102</v>
      </c>
      <c r="X80">
        <v>160202</v>
      </c>
      <c r="Y80">
        <v>410102</v>
      </c>
    </row>
    <row r="81" spans="1:25">
      <c r="A81" t="s">
        <v>212</v>
      </c>
      <c r="B81" t="s">
        <v>25</v>
      </c>
      <c r="C81" t="s">
        <v>248</v>
      </c>
      <c r="D81" t="s">
        <v>249</v>
      </c>
      <c r="E81" t="s">
        <v>28</v>
      </c>
      <c r="F81" t="str">
        <f t="shared" si="1"/>
        <v>020153-工频磁场线圈-TCXS 113-1</v>
      </c>
      <c r="G81" t="s">
        <v>250</v>
      </c>
      <c r="H81">
        <v>1</v>
      </c>
      <c r="I81" t="s">
        <v>36</v>
      </c>
      <c r="J81" t="s">
        <v>212</v>
      </c>
      <c r="K81" s="5">
        <v>45658</v>
      </c>
      <c r="L81" t="s">
        <v>31</v>
      </c>
      <c r="M81">
        <v>120</v>
      </c>
      <c r="N81">
        <v>1</v>
      </c>
      <c r="P81" s="7">
        <v>2654.87</v>
      </c>
      <c r="Q81" s="7">
        <v>0</v>
      </c>
      <c r="R81" s="7">
        <v>2654.87</v>
      </c>
      <c r="S81" s="7">
        <v>265.49</v>
      </c>
      <c r="T81" s="7">
        <v>0</v>
      </c>
      <c r="U81" t="s">
        <v>212</v>
      </c>
      <c r="V81" s="7">
        <v>0</v>
      </c>
      <c r="W81">
        <v>160102</v>
      </c>
      <c r="X81">
        <v>160202</v>
      </c>
      <c r="Y81">
        <v>410102</v>
      </c>
    </row>
    <row r="82" spans="1:25">
      <c r="A82" t="s">
        <v>212</v>
      </c>
      <c r="B82" t="s">
        <v>25</v>
      </c>
      <c r="C82" t="s">
        <v>251</v>
      </c>
      <c r="D82" t="s">
        <v>252</v>
      </c>
      <c r="E82" t="s">
        <v>28</v>
      </c>
      <c r="F82" t="str">
        <f t="shared" si="1"/>
        <v>020154-电压跌落 设备（电压暂降和短时中 断试验设备）-PFS 3810T1  VVT 3810T1-1</v>
      </c>
      <c r="G82" t="s">
        <v>253</v>
      </c>
      <c r="H82">
        <v>1</v>
      </c>
      <c r="I82" t="s">
        <v>36</v>
      </c>
      <c r="J82" t="s">
        <v>212</v>
      </c>
      <c r="K82" s="5">
        <v>45658</v>
      </c>
      <c r="L82" t="s">
        <v>31</v>
      </c>
      <c r="M82">
        <v>120</v>
      </c>
      <c r="N82">
        <v>1</v>
      </c>
      <c r="P82" s="7">
        <v>28318.58</v>
      </c>
      <c r="Q82" s="7">
        <v>0</v>
      </c>
      <c r="R82" s="7">
        <v>28318.58</v>
      </c>
      <c r="S82" s="7">
        <v>2831.86</v>
      </c>
      <c r="T82" s="7">
        <v>0</v>
      </c>
      <c r="U82" t="s">
        <v>212</v>
      </c>
      <c r="V82" s="7">
        <v>0</v>
      </c>
      <c r="W82">
        <v>160102</v>
      </c>
      <c r="X82">
        <v>160202</v>
      </c>
      <c r="Y82">
        <v>410102</v>
      </c>
    </row>
    <row r="83" spans="1:25">
      <c r="A83" t="s">
        <v>212</v>
      </c>
      <c r="B83" t="s">
        <v>25</v>
      </c>
      <c r="C83" t="s">
        <v>254</v>
      </c>
      <c r="D83" t="s">
        <v>255</v>
      </c>
      <c r="E83" t="s">
        <v>28</v>
      </c>
      <c r="F83" t="str">
        <f t="shared" si="1"/>
        <v>020155-衰减振荡波设备-DOS 300-1</v>
      </c>
      <c r="G83" t="s">
        <v>256</v>
      </c>
      <c r="H83">
        <v>1</v>
      </c>
      <c r="I83" t="s">
        <v>36</v>
      </c>
      <c r="J83" t="s">
        <v>212</v>
      </c>
      <c r="K83" s="5">
        <v>45658</v>
      </c>
      <c r="L83" t="s">
        <v>31</v>
      </c>
      <c r="M83">
        <v>120</v>
      </c>
      <c r="N83">
        <v>1</v>
      </c>
      <c r="P83" s="7">
        <v>46902.65</v>
      </c>
      <c r="Q83" s="7">
        <v>0</v>
      </c>
      <c r="R83" s="7">
        <v>46902.65</v>
      </c>
      <c r="S83" s="7">
        <v>4690.27</v>
      </c>
      <c r="T83" s="7">
        <v>0</v>
      </c>
      <c r="U83" t="s">
        <v>212</v>
      </c>
      <c r="V83" s="7">
        <v>0</v>
      </c>
      <c r="W83">
        <v>160102</v>
      </c>
      <c r="X83">
        <v>160202</v>
      </c>
      <c r="Y83">
        <v>410102</v>
      </c>
    </row>
    <row r="84" spans="1:25">
      <c r="A84" t="s">
        <v>212</v>
      </c>
      <c r="B84" t="s">
        <v>25</v>
      </c>
      <c r="C84" t="s">
        <v>257</v>
      </c>
      <c r="D84" t="s">
        <v>258</v>
      </c>
      <c r="E84" t="s">
        <v>28</v>
      </c>
      <c r="F84" t="str">
        <f t="shared" si="1"/>
        <v>020156-传导差模 电流干扰试验设备-RSG 40C10-1</v>
      </c>
      <c r="G84" t="s">
        <v>259</v>
      </c>
      <c r="H84">
        <v>1</v>
      </c>
      <c r="I84" t="s">
        <v>36</v>
      </c>
      <c r="J84" t="s">
        <v>212</v>
      </c>
      <c r="K84" s="5">
        <v>45658</v>
      </c>
      <c r="L84" t="s">
        <v>31</v>
      </c>
      <c r="M84">
        <v>120</v>
      </c>
      <c r="N84">
        <v>1</v>
      </c>
      <c r="P84" s="7">
        <v>42477.88</v>
      </c>
      <c r="Q84" s="7">
        <v>0</v>
      </c>
      <c r="R84" s="7">
        <v>42477.88</v>
      </c>
      <c r="S84" s="7">
        <v>4247.79</v>
      </c>
      <c r="T84" s="7">
        <v>0</v>
      </c>
      <c r="U84" t="s">
        <v>212</v>
      </c>
      <c r="V84" s="7">
        <v>0</v>
      </c>
      <c r="W84">
        <v>160102</v>
      </c>
      <c r="X84">
        <v>160202</v>
      </c>
      <c r="Y84">
        <v>410102</v>
      </c>
    </row>
    <row r="85" spans="1:25">
      <c r="A85" t="s">
        <v>212</v>
      </c>
      <c r="B85" t="s">
        <v>25</v>
      </c>
      <c r="C85" t="s">
        <v>260</v>
      </c>
      <c r="D85" t="s">
        <v>261</v>
      </c>
      <c r="E85" t="s">
        <v>28</v>
      </c>
      <c r="F85" t="str">
        <f t="shared" si="1"/>
        <v>020157-宽带隔离变流器-WCT 20-1</v>
      </c>
      <c r="G85" t="s">
        <v>262</v>
      </c>
      <c r="H85">
        <v>1</v>
      </c>
      <c r="I85" t="s">
        <v>36</v>
      </c>
      <c r="J85" t="s">
        <v>212</v>
      </c>
      <c r="K85" s="5">
        <v>45658</v>
      </c>
      <c r="L85" t="s">
        <v>31</v>
      </c>
      <c r="M85">
        <v>120</v>
      </c>
      <c r="N85">
        <v>1</v>
      </c>
      <c r="P85" s="7">
        <v>3539.82</v>
      </c>
      <c r="Q85" s="7">
        <v>0</v>
      </c>
      <c r="R85" s="7">
        <v>3539.82</v>
      </c>
      <c r="S85" s="7">
        <v>353.98</v>
      </c>
      <c r="T85" s="7">
        <v>0</v>
      </c>
      <c r="U85" t="s">
        <v>212</v>
      </c>
      <c r="V85" s="7">
        <v>0</v>
      </c>
      <c r="W85">
        <v>160102</v>
      </c>
      <c r="X85">
        <v>160202</v>
      </c>
      <c r="Y85">
        <v>410102</v>
      </c>
    </row>
    <row r="86" spans="1:25">
      <c r="A86" t="s">
        <v>212</v>
      </c>
      <c r="B86" t="s">
        <v>25</v>
      </c>
      <c r="C86" t="s">
        <v>263</v>
      </c>
      <c r="D86" t="s">
        <v>264</v>
      </c>
      <c r="E86" t="s">
        <v>28</v>
      </c>
      <c r="F86" t="str">
        <f t="shared" si="1"/>
        <v>020158-差模电流测试模块-RJJF-100-1</v>
      </c>
      <c r="G86" t="s">
        <v>265</v>
      </c>
      <c r="H86">
        <v>1</v>
      </c>
      <c r="I86" t="s">
        <v>36</v>
      </c>
      <c r="J86" t="s">
        <v>212</v>
      </c>
      <c r="K86" s="5">
        <v>45658</v>
      </c>
      <c r="L86" t="s">
        <v>31</v>
      </c>
      <c r="M86">
        <v>120</v>
      </c>
      <c r="N86">
        <v>1</v>
      </c>
      <c r="P86" s="7">
        <v>3539.82</v>
      </c>
      <c r="Q86" s="7">
        <v>0</v>
      </c>
      <c r="R86" s="7">
        <v>3539.82</v>
      </c>
      <c r="S86" s="7">
        <v>353.98</v>
      </c>
      <c r="T86" s="7">
        <v>0</v>
      </c>
      <c r="U86" t="s">
        <v>212</v>
      </c>
      <c r="V86" s="7">
        <v>0</v>
      </c>
      <c r="W86">
        <v>160102</v>
      </c>
      <c r="X86">
        <v>160202</v>
      </c>
      <c r="Y86">
        <v>410102</v>
      </c>
    </row>
    <row r="87" spans="1:25">
      <c r="A87" t="s">
        <v>212</v>
      </c>
      <c r="B87" t="s">
        <v>25</v>
      </c>
      <c r="C87" t="s">
        <v>266</v>
      </c>
      <c r="D87" t="s">
        <v>267</v>
      </c>
      <c r="E87" t="s">
        <v>28</v>
      </c>
      <c r="F87" t="str">
        <f t="shared" si="1"/>
        <v>020159-差模电压 测试模块-R419-1</v>
      </c>
      <c r="G87" t="s">
        <v>268</v>
      </c>
      <c r="H87">
        <v>1</v>
      </c>
      <c r="I87" t="s">
        <v>36</v>
      </c>
      <c r="J87" t="s">
        <v>212</v>
      </c>
      <c r="K87" s="5">
        <v>45658</v>
      </c>
      <c r="L87" t="s">
        <v>31</v>
      </c>
      <c r="M87">
        <v>120</v>
      </c>
      <c r="N87">
        <v>1</v>
      </c>
      <c r="P87" s="7">
        <v>3539.82</v>
      </c>
      <c r="Q87" s="7">
        <v>0</v>
      </c>
      <c r="R87" s="7">
        <v>3539.82</v>
      </c>
      <c r="S87" s="7">
        <v>353.98</v>
      </c>
      <c r="T87" s="7">
        <v>0</v>
      </c>
      <c r="U87" t="s">
        <v>212</v>
      </c>
      <c r="V87" s="7">
        <v>0</v>
      </c>
      <c r="W87">
        <v>160102</v>
      </c>
      <c r="X87">
        <v>160202</v>
      </c>
      <c r="Y87">
        <v>410102</v>
      </c>
    </row>
    <row r="88" spans="1:25">
      <c r="A88" t="s">
        <v>212</v>
      </c>
      <c r="B88" t="s">
        <v>25</v>
      </c>
      <c r="C88" t="s">
        <v>269</v>
      </c>
      <c r="D88" t="s">
        <v>270</v>
      </c>
      <c r="E88" t="s">
        <v>28</v>
      </c>
      <c r="F88" t="str">
        <f t="shared" si="1"/>
        <v>020160-微秒脉冲变压器-TPT-600-2-1</v>
      </c>
      <c r="G88" t="s">
        <v>271</v>
      </c>
      <c r="H88">
        <v>1</v>
      </c>
      <c r="I88" t="s">
        <v>36</v>
      </c>
      <c r="J88" t="s">
        <v>212</v>
      </c>
      <c r="K88" s="5">
        <v>45658</v>
      </c>
      <c r="L88" t="s">
        <v>31</v>
      </c>
      <c r="M88">
        <v>120</v>
      </c>
      <c r="N88">
        <v>1</v>
      </c>
      <c r="P88" s="7">
        <v>6194.69</v>
      </c>
      <c r="Q88" s="7">
        <v>0</v>
      </c>
      <c r="R88" s="7">
        <v>6194.69</v>
      </c>
      <c r="S88" s="7">
        <v>619.47</v>
      </c>
      <c r="T88" s="7">
        <v>0</v>
      </c>
      <c r="U88" t="s">
        <v>212</v>
      </c>
      <c r="V88" s="7">
        <v>0</v>
      </c>
      <c r="W88">
        <v>160102</v>
      </c>
      <c r="X88">
        <v>160202</v>
      </c>
      <c r="Y88">
        <v>410102</v>
      </c>
    </row>
    <row r="89" spans="1:25">
      <c r="A89" t="s">
        <v>212</v>
      </c>
      <c r="B89" t="s">
        <v>25</v>
      </c>
      <c r="C89" t="s">
        <v>272</v>
      </c>
      <c r="D89" t="s">
        <v>220</v>
      </c>
      <c r="E89" t="s">
        <v>28</v>
      </c>
      <c r="F89" t="str">
        <f t="shared" si="1"/>
        <v>020161-耦合去耦网络-CDN 419M3-32-1</v>
      </c>
      <c r="G89" t="s">
        <v>273</v>
      </c>
      <c r="H89">
        <v>1</v>
      </c>
      <c r="I89" t="s">
        <v>36</v>
      </c>
      <c r="J89" t="s">
        <v>212</v>
      </c>
      <c r="K89" s="5">
        <v>45658</v>
      </c>
      <c r="L89" t="s">
        <v>31</v>
      </c>
      <c r="M89">
        <v>120</v>
      </c>
      <c r="N89">
        <v>1</v>
      </c>
      <c r="P89" s="7">
        <v>14601.77</v>
      </c>
      <c r="Q89" s="7">
        <v>0</v>
      </c>
      <c r="R89" s="7">
        <v>14601.77</v>
      </c>
      <c r="S89" s="7">
        <v>1460.18</v>
      </c>
      <c r="T89" s="7">
        <v>0</v>
      </c>
      <c r="U89" t="s">
        <v>212</v>
      </c>
      <c r="V89" s="7">
        <v>0</v>
      </c>
      <c r="W89">
        <v>160102</v>
      </c>
      <c r="X89">
        <v>160202</v>
      </c>
      <c r="Y89">
        <v>410102</v>
      </c>
    </row>
    <row r="90" spans="1:25">
      <c r="A90" t="s">
        <v>212</v>
      </c>
      <c r="B90" t="s">
        <v>25</v>
      </c>
      <c r="C90" t="s">
        <v>274</v>
      </c>
      <c r="D90" t="s">
        <v>220</v>
      </c>
      <c r="E90" t="s">
        <v>28</v>
      </c>
      <c r="F90" t="str">
        <f t="shared" si="1"/>
        <v>020162-耦合去耦网络-CDN 419M4N-32-1</v>
      </c>
      <c r="G90" t="s">
        <v>275</v>
      </c>
      <c r="H90">
        <v>1</v>
      </c>
      <c r="I90" t="s">
        <v>36</v>
      </c>
      <c r="J90" t="s">
        <v>212</v>
      </c>
      <c r="K90" s="5">
        <v>45658</v>
      </c>
      <c r="L90" t="s">
        <v>31</v>
      </c>
      <c r="M90">
        <v>120</v>
      </c>
      <c r="N90">
        <v>1</v>
      </c>
      <c r="P90" s="7">
        <v>23008.85</v>
      </c>
      <c r="Q90" s="7">
        <v>0</v>
      </c>
      <c r="R90" s="7">
        <v>23008.85</v>
      </c>
      <c r="S90" s="7">
        <v>2300.89</v>
      </c>
      <c r="T90" s="7">
        <v>0</v>
      </c>
      <c r="U90" t="s">
        <v>212</v>
      </c>
      <c r="V90" s="7">
        <v>0</v>
      </c>
      <c r="W90">
        <v>160102</v>
      </c>
      <c r="X90">
        <v>160202</v>
      </c>
      <c r="Y90">
        <v>410102</v>
      </c>
    </row>
    <row r="91" spans="1:25">
      <c r="A91" t="s">
        <v>212</v>
      </c>
      <c r="B91" t="s">
        <v>25</v>
      </c>
      <c r="C91" t="s">
        <v>276</v>
      </c>
      <c r="D91" t="s">
        <v>277</v>
      </c>
      <c r="E91" t="s">
        <v>28</v>
      </c>
      <c r="F91" t="str">
        <f t="shared" si="1"/>
        <v>020163-冲击电流试验装置-ICG  3000(3600A)-1</v>
      </c>
      <c r="G91" t="s">
        <v>278</v>
      </c>
      <c r="H91">
        <v>1</v>
      </c>
      <c r="I91" t="s">
        <v>36</v>
      </c>
      <c r="J91" t="s">
        <v>212</v>
      </c>
      <c r="K91" s="5">
        <v>45658</v>
      </c>
      <c r="L91" t="s">
        <v>31</v>
      </c>
      <c r="M91">
        <v>120</v>
      </c>
      <c r="N91">
        <v>1</v>
      </c>
      <c r="P91" s="7">
        <v>30973.45</v>
      </c>
      <c r="Q91" s="7">
        <v>0</v>
      </c>
      <c r="R91" s="7">
        <v>30973.45</v>
      </c>
      <c r="S91" s="7">
        <v>1548.67</v>
      </c>
      <c r="T91" s="7">
        <v>0</v>
      </c>
      <c r="U91" t="s">
        <v>212</v>
      </c>
      <c r="V91" s="7">
        <v>0</v>
      </c>
      <c r="W91">
        <v>160102</v>
      </c>
      <c r="X91">
        <v>160202</v>
      </c>
      <c r="Y91">
        <v>410102</v>
      </c>
    </row>
    <row r="92" spans="1:25">
      <c r="A92" t="s">
        <v>212</v>
      </c>
      <c r="B92" t="s">
        <v>25</v>
      </c>
      <c r="C92" t="s">
        <v>279</v>
      </c>
      <c r="D92" t="s">
        <v>280</v>
      </c>
      <c r="E92" t="s">
        <v>28</v>
      </c>
      <c r="F92" t="str">
        <f t="shared" si="1"/>
        <v>020164-脉冲电压-压 VSG 335(12BC)-1</v>
      </c>
      <c r="G92" t="s">
        <v>281</v>
      </c>
      <c r="H92">
        <v>1</v>
      </c>
      <c r="I92" t="s">
        <v>36</v>
      </c>
      <c r="J92" t="s">
        <v>212</v>
      </c>
      <c r="K92" s="5">
        <v>45658</v>
      </c>
      <c r="L92" t="s">
        <v>31</v>
      </c>
      <c r="M92">
        <v>120</v>
      </c>
      <c r="N92">
        <v>1</v>
      </c>
      <c r="P92" s="7">
        <v>30530.97</v>
      </c>
      <c r="Q92" s="7">
        <v>0</v>
      </c>
      <c r="R92" s="7">
        <v>30530.97</v>
      </c>
      <c r="S92" s="7">
        <v>3053.1</v>
      </c>
      <c r="T92" s="7">
        <v>0</v>
      </c>
      <c r="U92" t="s">
        <v>212</v>
      </c>
      <c r="V92" s="7">
        <v>0</v>
      </c>
      <c r="W92">
        <v>160102</v>
      </c>
      <c r="X92">
        <v>160202</v>
      </c>
      <c r="Y92">
        <v>410102</v>
      </c>
    </row>
    <row r="93" spans="1:25">
      <c r="A93" t="s">
        <v>212</v>
      </c>
      <c r="B93" t="s">
        <v>25</v>
      </c>
      <c r="C93" t="s">
        <v>282</v>
      </c>
      <c r="D93" t="s">
        <v>283</v>
      </c>
      <c r="E93" t="s">
        <v>28</v>
      </c>
      <c r="F93" t="str">
        <f t="shared" si="1"/>
        <v>020165-交变湿热箱-JK-H-80L-1</v>
      </c>
      <c r="G93" t="s">
        <v>284</v>
      </c>
      <c r="H93">
        <v>1</v>
      </c>
      <c r="I93" t="s">
        <v>36</v>
      </c>
      <c r="J93" t="s">
        <v>212</v>
      </c>
      <c r="K93" s="5">
        <v>45658</v>
      </c>
      <c r="L93" t="s">
        <v>31</v>
      </c>
      <c r="M93">
        <v>120</v>
      </c>
      <c r="N93">
        <v>1</v>
      </c>
      <c r="P93" s="7">
        <v>11061.95</v>
      </c>
      <c r="Q93" s="7">
        <v>0</v>
      </c>
      <c r="R93" s="7">
        <v>11061.95</v>
      </c>
      <c r="S93" s="7">
        <v>1106.2</v>
      </c>
      <c r="T93" s="7">
        <v>0</v>
      </c>
      <c r="U93" t="s">
        <v>212</v>
      </c>
      <c r="V93" s="7">
        <v>0</v>
      </c>
      <c r="W93">
        <v>160102</v>
      </c>
      <c r="X93">
        <v>160202</v>
      </c>
      <c r="Y93">
        <v>410102</v>
      </c>
    </row>
    <row r="94" spans="1:25">
      <c r="A94" t="s">
        <v>212</v>
      </c>
      <c r="B94" t="s">
        <v>25</v>
      </c>
      <c r="C94" t="s">
        <v>285</v>
      </c>
      <c r="D94" t="s">
        <v>286</v>
      </c>
      <c r="E94" t="s">
        <v>28</v>
      </c>
      <c r="F94" t="str">
        <f t="shared" si="1"/>
        <v>020166-阳光辐射试验装置-JK-UV-150-1</v>
      </c>
      <c r="G94" t="s">
        <v>287</v>
      </c>
      <c r="H94">
        <v>1</v>
      </c>
      <c r="I94" t="s">
        <v>36</v>
      </c>
      <c r="J94" t="s">
        <v>212</v>
      </c>
      <c r="K94" s="5">
        <v>45658</v>
      </c>
      <c r="L94" t="s">
        <v>31</v>
      </c>
      <c r="M94">
        <v>120</v>
      </c>
      <c r="N94">
        <v>1</v>
      </c>
      <c r="P94" s="7">
        <v>12831.86</v>
      </c>
      <c r="Q94" s="7">
        <v>0</v>
      </c>
      <c r="R94" s="7">
        <v>12831.86</v>
      </c>
      <c r="S94" s="7">
        <v>1283.19</v>
      </c>
      <c r="T94" s="7">
        <v>0</v>
      </c>
      <c r="U94" t="s">
        <v>212</v>
      </c>
      <c r="V94" s="7">
        <v>0</v>
      </c>
      <c r="W94">
        <v>160102</v>
      </c>
      <c r="X94">
        <v>160202</v>
      </c>
      <c r="Y94">
        <v>410102</v>
      </c>
    </row>
    <row r="95" spans="1:25">
      <c r="A95" t="s">
        <v>212</v>
      </c>
      <c r="B95" t="s">
        <v>25</v>
      </c>
      <c r="C95" t="s">
        <v>288</v>
      </c>
      <c r="D95" t="s">
        <v>289</v>
      </c>
      <c r="E95" t="s">
        <v>28</v>
      </c>
      <c r="F95" t="str">
        <f t="shared" si="1"/>
        <v>020167-防尘试验装置-JK-SC-600-1</v>
      </c>
      <c r="G95" t="s">
        <v>290</v>
      </c>
      <c r="H95">
        <v>1</v>
      </c>
      <c r="I95" t="s">
        <v>36</v>
      </c>
      <c r="J95" t="s">
        <v>212</v>
      </c>
      <c r="K95" s="5">
        <v>45658</v>
      </c>
      <c r="L95" t="s">
        <v>31</v>
      </c>
      <c r="M95">
        <v>120</v>
      </c>
      <c r="N95">
        <v>1</v>
      </c>
      <c r="P95" s="7">
        <v>12831.86</v>
      </c>
      <c r="Q95" s="7">
        <v>0</v>
      </c>
      <c r="R95" s="7">
        <v>12831.86</v>
      </c>
      <c r="S95" s="7">
        <v>1283.19</v>
      </c>
      <c r="T95" s="7">
        <v>0</v>
      </c>
      <c r="U95" t="s">
        <v>212</v>
      </c>
      <c r="V95" s="7">
        <v>0</v>
      </c>
      <c r="W95">
        <v>160102</v>
      </c>
      <c r="X95">
        <v>160202</v>
      </c>
      <c r="Y95">
        <v>410102</v>
      </c>
    </row>
    <row r="96" spans="1:25">
      <c r="A96" t="s">
        <v>212</v>
      </c>
      <c r="B96" t="s">
        <v>25</v>
      </c>
      <c r="C96" t="s">
        <v>291</v>
      </c>
      <c r="D96" t="s">
        <v>292</v>
      </c>
      <c r="E96" t="s">
        <v>28</v>
      </c>
      <c r="F96" t="str">
        <f t="shared" si="1"/>
        <v>020168-防水试验装置-JK-IPX34-600-1</v>
      </c>
      <c r="G96" t="s">
        <v>293</v>
      </c>
      <c r="H96">
        <v>1</v>
      </c>
      <c r="I96" t="s">
        <v>36</v>
      </c>
      <c r="J96" t="s">
        <v>212</v>
      </c>
      <c r="K96" s="5">
        <v>45658</v>
      </c>
      <c r="L96" t="s">
        <v>31</v>
      </c>
      <c r="M96">
        <v>120</v>
      </c>
      <c r="N96">
        <v>1</v>
      </c>
      <c r="P96" s="7">
        <v>12831.86</v>
      </c>
      <c r="Q96" s="7">
        <v>0</v>
      </c>
      <c r="R96" s="7">
        <v>12831.86</v>
      </c>
      <c r="S96" s="7">
        <v>1283.19</v>
      </c>
      <c r="T96" s="7">
        <v>0</v>
      </c>
      <c r="U96" t="s">
        <v>212</v>
      </c>
      <c r="V96" s="7">
        <v>0</v>
      </c>
      <c r="W96">
        <v>160102</v>
      </c>
      <c r="X96">
        <v>160202</v>
      </c>
      <c r="Y96">
        <v>410102</v>
      </c>
    </row>
    <row r="97" spans="1:25">
      <c r="A97" t="s">
        <v>212</v>
      </c>
      <c r="B97" t="s">
        <v>25</v>
      </c>
      <c r="C97" t="s">
        <v>294</v>
      </c>
      <c r="D97" t="s">
        <v>295</v>
      </c>
      <c r="E97" t="s">
        <v>28</v>
      </c>
      <c r="F97" t="str">
        <f t="shared" si="1"/>
        <v>020169-恒定磁场发生器-MTF-400-1</v>
      </c>
      <c r="G97" t="s">
        <v>296</v>
      </c>
      <c r="H97">
        <v>1</v>
      </c>
      <c r="I97" t="s">
        <v>36</v>
      </c>
      <c r="J97" t="s">
        <v>212</v>
      </c>
      <c r="K97" s="5">
        <v>45658</v>
      </c>
      <c r="L97" t="s">
        <v>31</v>
      </c>
      <c r="M97">
        <v>120</v>
      </c>
      <c r="N97">
        <v>1</v>
      </c>
      <c r="P97" s="7">
        <v>1946.9</v>
      </c>
      <c r="Q97" s="7">
        <v>0</v>
      </c>
      <c r="R97" s="7">
        <v>1946.9</v>
      </c>
      <c r="S97" s="7">
        <v>194.69</v>
      </c>
      <c r="T97" s="7">
        <v>0</v>
      </c>
      <c r="U97" t="s">
        <v>212</v>
      </c>
      <c r="V97" s="7">
        <v>0</v>
      </c>
      <c r="W97">
        <v>160102</v>
      </c>
      <c r="X97">
        <v>160202</v>
      </c>
      <c r="Y97">
        <v>410102</v>
      </c>
    </row>
    <row r="98" spans="1:25">
      <c r="A98" t="s">
        <v>212</v>
      </c>
      <c r="B98" t="s">
        <v>25</v>
      </c>
      <c r="C98" t="s">
        <v>297</v>
      </c>
      <c r="D98" t="s">
        <v>40</v>
      </c>
      <c r="E98" t="s">
        <v>28</v>
      </c>
      <c r="F98" t="str">
        <f t="shared" si="1"/>
        <v>020170-单相电能表检验装置-IS12DB-48B-1</v>
      </c>
      <c r="G98" t="s">
        <v>298</v>
      </c>
      <c r="H98">
        <v>1</v>
      </c>
      <c r="I98" t="s">
        <v>36</v>
      </c>
      <c r="J98" t="s">
        <v>180</v>
      </c>
      <c r="K98" s="5">
        <v>45658</v>
      </c>
      <c r="L98" t="s">
        <v>31</v>
      </c>
      <c r="M98">
        <v>120</v>
      </c>
      <c r="N98">
        <v>1</v>
      </c>
      <c r="P98" s="7">
        <v>33628.32</v>
      </c>
      <c r="Q98" s="7">
        <v>0</v>
      </c>
      <c r="R98" s="7">
        <v>33628.32</v>
      </c>
      <c r="S98" s="7">
        <v>3362.83</v>
      </c>
      <c r="T98" s="7">
        <v>0</v>
      </c>
      <c r="U98" t="s">
        <v>184</v>
      </c>
      <c r="V98" s="7">
        <v>0</v>
      </c>
      <c r="W98">
        <v>160102</v>
      </c>
      <c r="X98">
        <v>160202</v>
      </c>
      <c r="Y98">
        <v>410102</v>
      </c>
    </row>
    <row r="99" spans="1:25">
      <c r="A99" t="s">
        <v>212</v>
      </c>
      <c r="B99" t="s">
        <v>25</v>
      </c>
      <c r="C99" t="s">
        <v>299</v>
      </c>
      <c r="D99" t="s">
        <v>300</v>
      </c>
      <c r="E99" t="s">
        <v>28</v>
      </c>
      <c r="F99" t="str">
        <f t="shared" si="1"/>
        <v>020171-单相多功 能电能表检验装置-SYD15C-48-1</v>
      </c>
      <c r="G99" t="s">
        <v>301</v>
      </c>
      <c r="H99">
        <v>1</v>
      </c>
      <c r="I99" t="s">
        <v>36</v>
      </c>
      <c r="J99" t="s">
        <v>212</v>
      </c>
      <c r="K99" s="5">
        <v>45658</v>
      </c>
      <c r="L99" t="s">
        <v>31</v>
      </c>
      <c r="M99">
        <v>120</v>
      </c>
      <c r="N99">
        <v>1</v>
      </c>
      <c r="P99" s="7">
        <v>33628.32</v>
      </c>
      <c r="Q99" s="7">
        <v>0</v>
      </c>
      <c r="R99" s="7">
        <v>33628.32</v>
      </c>
      <c r="S99" s="7">
        <v>3362.83</v>
      </c>
      <c r="T99" s="7">
        <v>0</v>
      </c>
      <c r="U99" t="s">
        <v>184</v>
      </c>
      <c r="V99" s="7">
        <v>0</v>
      </c>
      <c r="W99">
        <v>160102</v>
      </c>
      <c r="X99">
        <v>160202</v>
      </c>
      <c r="Y99">
        <v>410102</v>
      </c>
    </row>
    <row r="100" spans="1:25">
      <c r="A100" t="s">
        <v>212</v>
      </c>
      <c r="B100" t="s">
        <v>25</v>
      </c>
      <c r="C100" t="s">
        <v>302</v>
      </c>
      <c r="D100" t="s">
        <v>303</v>
      </c>
      <c r="E100" t="s">
        <v>28</v>
      </c>
      <c r="F100" t="str">
        <f t="shared" si="1"/>
        <v>020172-单相电能 表校验装置-IS12DB-48B-1</v>
      </c>
      <c r="G100" t="s">
        <v>298</v>
      </c>
      <c r="H100">
        <v>1</v>
      </c>
      <c r="I100" t="s">
        <v>36</v>
      </c>
      <c r="J100" t="s">
        <v>212</v>
      </c>
      <c r="K100" s="5">
        <v>45658</v>
      </c>
      <c r="L100" t="s">
        <v>31</v>
      </c>
      <c r="M100">
        <v>120</v>
      </c>
      <c r="N100">
        <v>1</v>
      </c>
      <c r="P100" s="7">
        <v>33628.32</v>
      </c>
      <c r="Q100" s="7">
        <v>0</v>
      </c>
      <c r="R100" s="7">
        <v>33628.32</v>
      </c>
      <c r="S100" s="7">
        <v>3362.83</v>
      </c>
      <c r="T100" s="7">
        <v>0</v>
      </c>
      <c r="U100" t="s">
        <v>184</v>
      </c>
      <c r="V100" s="7">
        <v>0</v>
      </c>
      <c r="W100">
        <v>160102</v>
      </c>
      <c r="X100">
        <v>160202</v>
      </c>
      <c r="Y100">
        <v>410102</v>
      </c>
    </row>
    <row r="101" spans="1:25">
      <c r="A101" t="s">
        <v>212</v>
      </c>
      <c r="B101" t="s">
        <v>25</v>
      </c>
      <c r="C101" t="s">
        <v>304</v>
      </c>
      <c r="D101" t="s">
        <v>300</v>
      </c>
      <c r="E101" t="s">
        <v>28</v>
      </c>
      <c r="F101" t="str">
        <f t="shared" si="1"/>
        <v>020173-单相多功 能电能表检验装置-SYD15C-48-1</v>
      </c>
      <c r="G101" t="s">
        <v>301</v>
      </c>
      <c r="H101">
        <v>1</v>
      </c>
      <c r="I101" t="s">
        <v>36</v>
      </c>
      <c r="J101" t="s">
        <v>212</v>
      </c>
      <c r="K101" s="5">
        <v>45658</v>
      </c>
      <c r="L101" t="s">
        <v>31</v>
      </c>
      <c r="M101">
        <v>120</v>
      </c>
      <c r="N101">
        <v>1</v>
      </c>
      <c r="P101" s="7">
        <v>33628.32</v>
      </c>
      <c r="Q101" s="7">
        <v>0</v>
      </c>
      <c r="R101" s="7">
        <v>33628.32</v>
      </c>
      <c r="S101" s="7">
        <v>3362.83</v>
      </c>
      <c r="T101" s="7">
        <v>0</v>
      </c>
      <c r="U101" t="s">
        <v>184</v>
      </c>
      <c r="V101" s="7">
        <v>0</v>
      </c>
      <c r="W101">
        <v>160102</v>
      </c>
      <c r="X101">
        <v>160202</v>
      </c>
      <c r="Y101">
        <v>410102</v>
      </c>
    </row>
    <row r="102" spans="1:25">
      <c r="A102" t="s">
        <v>212</v>
      </c>
      <c r="B102" t="s">
        <v>25</v>
      </c>
      <c r="C102" t="s">
        <v>305</v>
      </c>
      <c r="D102" t="s">
        <v>300</v>
      </c>
      <c r="E102" t="s">
        <v>28</v>
      </c>
      <c r="F102" t="str">
        <f t="shared" si="1"/>
        <v>020174-单相多功 能电能表检验装置-SYD15C-48-1</v>
      </c>
      <c r="G102" t="s">
        <v>301</v>
      </c>
      <c r="H102">
        <v>1</v>
      </c>
      <c r="I102" t="s">
        <v>36</v>
      </c>
      <c r="J102" t="s">
        <v>212</v>
      </c>
      <c r="K102" s="5">
        <v>45658</v>
      </c>
      <c r="L102" t="s">
        <v>31</v>
      </c>
      <c r="M102">
        <v>120</v>
      </c>
      <c r="N102">
        <v>1</v>
      </c>
      <c r="P102" s="7">
        <v>33628.32</v>
      </c>
      <c r="Q102" s="7">
        <v>0</v>
      </c>
      <c r="R102" s="7">
        <v>33628.32</v>
      </c>
      <c r="S102" s="7">
        <v>3362.83</v>
      </c>
      <c r="T102" s="7">
        <v>0</v>
      </c>
      <c r="U102" t="s">
        <v>184</v>
      </c>
      <c r="V102" s="7">
        <v>0</v>
      </c>
      <c r="W102">
        <v>160102</v>
      </c>
      <c r="X102">
        <v>160202</v>
      </c>
      <c r="Y102">
        <v>410102</v>
      </c>
    </row>
    <row r="103" spans="1:25">
      <c r="A103" t="s">
        <v>212</v>
      </c>
      <c r="B103" t="s">
        <v>25</v>
      </c>
      <c r="C103" t="s">
        <v>306</v>
      </c>
      <c r="D103" t="s">
        <v>188</v>
      </c>
      <c r="E103" t="s">
        <v>28</v>
      </c>
      <c r="F103" t="str">
        <f t="shared" si="1"/>
        <v>020175-单相电能 表检验装置-能 表检验装置 IS12DB-48B-1</v>
      </c>
      <c r="G103" t="s">
        <v>307</v>
      </c>
      <c r="H103">
        <v>1</v>
      </c>
      <c r="I103" t="s">
        <v>36</v>
      </c>
      <c r="J103" t="s">
        <v>212</v>
      </c>
      <c r="K103" s="5">
        <v>45658</v>
      </c>
      <c r="L103" t="s">
        <v>31</v>
      </c>
      <c r="M103">
        <v>120</v>
      </c>
      <c r="N103">
        <v>1</v>
      </c>
      <c r="P103" s="7">
        <v>33628.32</v>
      </c>
      <c r="Q103" s="7">
        <v>0</v>
      </c>
      <c r="R103" s="7">
        <v>33628.32</v>
      </c>
      <c r="S103" s="7">
        <v>3362.83</v>
      </c>
      <c r="T103" s="7">
        <v>0</v>
      </c>
      <c r="U103" t="s">
        <v>184</v>
      </c>
      <c r="V103" s="7">
        <v>0</v>
      </c>
      <c r="W103">
        <v>160102</v>
      </c>
      <c r="X103">
        <v>160202</v>
      </c>
      <c r="Y103">
        <v>410102</v>
      </c>
    </row>
    <row r="104" spans="1:25">
      <c r="A104" t="s">
        <v>308</v>
      </c>
      <c r="B104" t="s">
        <v>25</v>
      </c>
      <c r="C104" t="s">
        <v>309</v>
      </c>
      <c r="D104" t="s">
        <v>310</v>
      </c>
      <c r="E104" t="s">
        <v>28</v>
      </c>
      <c r="F104" t="str">
        <f t="shared" si="1"/>
        <v>020176-振铃波模拟器-RWS600-1</v>
      </c>
      <c r="G104" t="s">
        <v>311</v>
      </c>
      <c r="H104">
        <v>1</v>
      </c>
      <c r="I104" t="s">
        <v>36</v>
      </c>
      <c r="J104" t="s">
        <v>308</v>
      </c>
      <c r="K104" s="5">
        <v>45658</v>
      </c>
      <c r="L104" t="s">
        <v>31</v>
      </c>
      <c r="M104">
        <v>120</v>
      </c>
      <c r="N104">
        <v>1</v>
      </c>
      <c r="P104" s="7">
        <v>44247.79</v>
      </c>
      <c r="Q104" s="7">
        <v>0</v>
      </c>
      <c r="R104" s="7">
        <v>44247.79</v>
      </c>
      <c r="S104" s="7">
        <v>4424.78</v>
      </c>
      <c r="T104" s="7">
        <v>0</v>
      </c>
      <c r="U104" t="s">
        <v>308</v>
      </c>
      <c r="V104" s="7">
        <v>0</v>
      </c>
      <c r="W104">
        <v>160102</v>
      </c>
      <c r="X104">
        <v>160202</v>
      </c>
      <c r="Y104">
        <v>410102</v>
      </c>
    </row>
    <row r="105" spans="1:25">
      <c r="A105" t="s">
        <v>308</v>
      </c>
      <c r="B105" t="s">
        <v>25</v>
      </c>
      <c r="C105" t="s">
        <v>312</v>
      </c>
      <c r="D105" t="s">
        <v>313</v>
      </c>
      <c r="E105" t="s">
        <v>28</v>
      </c>
      <c r="F105" t="str">
        <f t="shared" si="1"/>
        <v>020177-人工电源网络-LISN J50-1</v>
      </c>
      <c r="G105" t="s">
        <v>314</v>
      </c>
      <c r="H105">
        <v>1</v>
      </c>
      <c r="I105" t="s">
        <v>36</v>
      </c>
      <c r="J105" t="s">
        <v>308</v>
      </c>
      <c r="K105" s="5">
        <v>45658</v>
      </c>
      <c r="L105" t="s">
        <v>31</v>
      </c>
      <c r="M105">
        <v>120</v>
      </c>
      <c r="N105">
        <v>1</v>
      </c>
      <c r="P105" s="7">
        <v>11061.95</v>
      </c>
      <c r="Q105" s="7">
        <v>0</v>
      </c>
      <c r="R105" s="7">
        <v>11061.95</v>
      </c>
      <c r="S105" s="7">
        <v>1106.2</v>
      </c>
      <c r="T105" s="7">
        <v>0</v>
      </c>
      <c r="U105" t="s">
        <v>308</v>
      </c>
      <c r="V105" s="7">
        <v>0</v>
      </c>
      <c r="W105">
        <v>160102</v>
      </c>
      <c r="X105">
        <v>160202</v>
      </c>
      <c r="Y105">
        <v>410102</v>
      </c>
    </row>
    <row r="106" spans="1:25">
      <c r="A106" t="s">
        <v>308</v>
      </c>
      <c r="B106" t="s">
        <v>25</v>
      </c>
      <c r="C106" t="s">
        <v>315</v>
      </c>
      <c r="D106" t="s">
        <v>316</v>
      </c>
      <c r="E106" t="s">
        <v>28</v>
      </c>
      <c r="F106" t="str">
        <f t="shared" si="1"/>
        <v>020178-锡膏红胶-PS-XW-05-1</v>
      </c>
      <c r="G106" t="s">
        <v>317</v>
      </c>
      <c r="H106">
        <v>1</v>
      </c>
      <c r="I106" t="s">
        <v>36</v>
      </c>
      <c r="J106" t="s">
        <v>308</v>
      </c>
      <c r="K106" s="5">
        <v>45658</v>
      </c>
      <c r="L106" t="s">
        <v>31</v>
      </c>
      <c r="M106">
        <v>120</v>
      </c>
      <c r="N106">
        <v>1</v>
      </c>
      <c r="P106" s="7">
        <v>3800</v>
      </c>
      <c r="Q106" s="7">
        <v>0</v>
      </c>
      <c r="R106" s="7">
        <v>3800</v>
      </c>
      <c r="S106" s="7">
        <v>380</v>
      </c>
      <c r="T106" s="7">
        <v>0</v>
      </c>
      <c r="U106" t="s">
        <v>308</v>
      </c>
      <c r="V106" s="7">
        <v>0</v>
      </c>
      <c r="W106">
        <v>160102</v>
      </c>
      <c r="X106">
        <v>160202</v>
      </c>
      <c r="Y106">
        <v>410102</v>
      </c>
    </row>
    <row r="107" spans="1:25">
      <c r="A107" t="s">
        <v>308</v>
      </c>
      <c r="B107" t="s">
        <v>25</v>
      </c>
      <c r="C107" t="s">
        <v>318</v>
      </c>
      <c r="D107" t="s">
        <v>319</v>
      </c>
      <c r="E107" t="s">
        <v>28</v>
      </c>
      <c r="F107" t="str">
        <f t="shared" si="1"/>
        <v>020179-药品冷藏箱-YPX-1</v>
      </c>
      <c r="G107" t="s">
        <v>320</v>
      </c>
      <c r="H107">
        <v>1</v>
      </c>
      <c r="I107" t="s">
        <v>36</v>
      </c>
      <c r="J107" t="s">
        <v>308</v>
      </c>
      <c r="K107" s="5">
        <v>45658</v>
      </c>
      <c r="L107" t="s">
        <v>31</v>
      </c>
      <c r="M107">
        <v>120</v>
      </c>
      <c r="N107">
        <v>1</v>
      </c>
      <c r="P107" s="7">
        <v>4336.28</v>
      </c>
      <c r="Q107" s="7">
        <v>0</v>
      </c>
      <c r="R107" s="7">
        <v>4336.28</v>
      </c>
      <c r="S107" s="7">
        <v>433.63</v>
      </c>
      <c r="T107" s="7">
        <v>0</v>
      </c>
      <c r="U107" t="s">
        <v>308</v>
      </c>
      <c r="V107" s="7">
        <v>0</v>
      </c>
      <c r="W107">
        <v>160102</v>
      </c>
      <c r="X107">
        <v>160202</v>
      </c>
      <c r="Y107">
        <v>410102</v>
      </c>
    </row>
    <row r="108" spans="1:25">
      <c r="A108" t="s">
        <v>308</v>
      </c>
      <c r="B108" t="s">
        <v>25</v>
      </c>
      <c r="C108" t="s">
        <v>321</v>
      </c>
      <c r="D108" t="s">
        <v>322</v>
      </c>
      <c r="E108" t="s">
        <v>28</v>
      </c>
      <c r="F108" t="str">
        <f t="shared" si="1"/>
        <v>020180-不锈钢风淋室-2000*2000*2100-1</v>
      </c>
      <c r="G108" t="s">
        <v>323</v>
      </c>
      <c r="H108">
        <v>1</v>
      </c>
      <c r="I108" t="s">
        <v>36</v>
      </c>
      <c r="J108" t="s">
        <v>308</v>
      </c>
      <c r="K108" s="5">
        <v>45658</v>
      </c>
      <c r="L108" t="s">
        <v>31</v>
      </c>
      <c r="M108">
        <v>120</v>
      </c>
      <c r="N108">
        <v>1</v>
      </c>
      <c r="P108" s="7">
        <v>10176.99</v>
      </c>
      <c r="Q108" s="7">
        <v>0</v>
      </c>
      <c r="R108" s="7">
        <v>10176.99</v>
      </c>
      <c r="S108" s="7">
        <v>1017.7</v>
      </c>
      <c r="T108" s="7">
        <v>0</v>
      </c>
      <c r="U108" t="s">
        <v>308</v>
      </c>
      <c r="V108" s="7">
        <v>0</v>
      </c>
      <c r="W108">
        <v>160102</v>
      </c>
      <c r="X108">
        <v>160202</v>
      </c>
      <c r="Y108">
        <v>410102</v>
      </c>
    </row>
    <row r="109" spans="1:25">
      <c r="A109" t="s">
        <v>308</v>
      </c>
      <c r="B109" t="s">
        <v>25</v>
      </c>
      <c r="C109" t="s">
        <v>324</v>
      </c>
      <c r="D109" t="s">
        <v>325</v>
      </c>
      <c r="E109" t="s">
        <v>28</v>
      </c>
      <c r="F109" t="str">
        <f t="shared" si="1"/>
        <v>020181-锡膏搅拌机-ZB500S-1</v>
      </c>
      <c r="G109" t="s">
        <v>326</v>
      </c>
      <c r="H109">
        <v>1</v>
      </c>
      <c r="I109" t="s">
        <v>36</v>
      </c>
      <c r="J109" t="s">
        <v>308</v>
      </c>
      <c r="K109" s="5">
        <v>45658</v>
      </c>
      <c r="L109" t="s">
        <v>31</v>
      </c>
      <c r="M109">
        <v>120</v>
      </c>
      <c r="N109">
        <v>1</v>
      </c>
      <c r="P109" s="7">
        <v>2212.39</v>
      </c>
      <c r="Q109" s="7">
        <v>0</v>
      </c>
      <c r="R109" s="7">
        <v>2212.39</v>
      </c>
      <c r="S109" s="7">
        <v>221.24</v>
      </c>
      <c r="T109" s="7">
        <v>0</v>
      </c>
      <c r="U109" t="s">
        <v>308</v>
      </c>
      <c r="V109" s="7">
        <v>0</v>
      </c>
      <c r="W109">
        <v>160102</v>
      </c>
      <c r="X109">
        <v>160202</v>
      </c>
      <c r="Y109">
        <v>410102</v>
      </c>
    </row>
    <row r="110" spans="1:25">
      <c r="A110" t="s">
        <v>308</v>
      </c>
      <c r="B110" t="s">
        <v>25</v>
      </c>
      <c r="C110" t="s">
        <v>327</v>
      </c>
      <c r="D110" t="s">
        <v>328</v>
      </c>
      <c r="E110" t="s">
        <v>28</v>
      </c>
      <c r="F110" t="str">
        <f t="shared" si="1"/>
        <v>020182-印刷上板机-HKFX-S250-1</v>
      </c>
      <c r="G110" t="s">
        <v>329</v>
      </c>
      <c r="H110">
        <v>1</v>
      </c>
      <c r="I110" t="s">
        <v>36</v>
      </c>
      <c r="J110" t="s">
        <v>308</v>
      </c>
      <c r="K110" s="5">
        <v>45658</v>
      </c>
      <c r="L110" t="s">
        <v>31</v>
      </c>
      <c r="M110">
        <v>120</v>
      </c>
      <c r="N110">
        <v>1</v>
      </c>
      <c r="P110" s="7">
        <v>6637.17</v>
      </c>
      <c r="Q110" s="7">
        <v>0</v>
      </c>
      <c r="R110" s="7">
        <v>6637.17</v>
      </c>
      <c r="S110" s="7">
        <v>663.72</v>
      </c>
      <c r="T110" s="7">
        <v>0</v>
      </c>
      <c r="U110" t="s">
        <v>308</v>
      </c>
      <c r="V110" s="7">
        <v>0</v>
      </c>
      <c r="W110">
        <v>160102</v>
      </c>
      <c r="X110">
        <v>160202</v>
      </c>
      <c r="Y110">
        <v>410102</v>
      </c>
    </row>
    <row r="111" spans="1:25">
      <c r="A111" t="s">
        <v>308</v>
      </c>
      <c r="B111" t="s">
        <v>25</v>
      </c>
      <c r="C111" t="s">
        <v>330</v>
      </c>
      <c r="D111" t="s">
        <v>331</v>
      </c>
      <c r="E111" t="s">
        <v>28</v>
      </c>
      <c r="F111" t="str">
        <f t="shared" si="1"/>
        <v>020183-印刷机-GSK-1</v>
      </c>
      <c r="G111" t="s">
        <v>332</v>
      </c>
      <c r="H111">
        <v>1</v>
      </c>
      <c r="I111" t="s">
        <v>36</v>
      </c>
      <c r="J111" t="s">
        <v>308</v>
      </c>
      <c r="K111" s="5">
        <v>45658</v>
      </c>
      <c r="L111" t="s">
        <v>31</v>
      </c>
      <c r="M111">
        <v>120</v>
      </c>
      <c r="N111">
        <v>1</v>
      </c>
      <c r="P111" s="7">
        <v>75221.24</v>
      </c>
      <c r="Q111" s="7">
        <v>0</v>
      </c>
      <c r="R111" s="7">
        <v>75221.24</v>
      </c>
      <c r="S111" s="7">
        <v>7522.12</v>
      </c>
      <c r="T111" s="7">
        <v>0</v>
      </c>
      <c r="U111" t="s">
        <v>308</v>
      </c>
      <c r="V111" s="7">
        <v>0</v>
      </c>
      <c r="W111">
        <v>160102</v>
      </c>
      <c r="X111">
        <v>160202</v>
      </c>
      <c r="Y111">
        <v>410102</v>
      </c>
    </row>
    <row r="112" spans="1:25">
      <c r="A112" t="s">
        <v>308</v>
      </c>
      <c r="B112" t="s">
        <v>25</v>
      </c>
      <c r="C112" t="s">
        <v>333</v>
      </c>
      <c r="D112" t="s">
        <v>334</v>
      </c>
      <c r="E112" t="s">
        <v>28</v>
      </c>
      <c r="F112" t="str">
        <f t="shared" si="1"/>
        <v>020184-印刷接驳 台-CBC-080A-1</v>
      </c>
      <c r="G112" t="s">
        <v>335</v>
      </c>
      <c r="H112">
        <v>1</v>
      </c>
      <c r="I112" t="s">
        <v>36</v>
      </c>
      <c r="J112" t="s">
        <v>308</v>
      </c>
      <c r="K112" s="5">
        <v>45658</v>
      </c>
      <c r="L112" t="s">
        <v>31</v>
      </c>
      <c r="M112">
        <v>120</v>
      </c>
      <c r="N112">
        <v>1</v>
      </c>
      <c r="P112" s="7">
        <v>2212.39</v>
      </c>
      <c r="Q112" s="7">
        <v>0</v>
      </c>
      <c r="R112" s="7">
        <v>2212.39</v>
      </c>
      <c r="S112" s="7">
        <v>221.24</v>
      </c>
      <c r="T112" s="7">
        <v>0</v>
      </c>
      <c r="U112" t="s">
        <v>308</v>
      </c>
      <c r="V112" s="7">
        <v>0</v>
      </c>
      <c r="W112">
        <v>160102</v>
      </c>
      <c r="X112">
        <v>160202</v>
      </c>
      <c r="Y112">
        <v>410102</v>
      </c>
    </row>
    <row r="113" spans="1:25">
      <c r="A113" t="s">
        <v>308</v>
      </c>
      <c r="B113" t="s">
        <v>25</v>
      </c>
      <c r="C113" t="s">
        <v>336</v>
      </c>
      <c r="D113" t="s">
        <v>337</v>
      </c>
      <c r="E113" t="s">
        <v>28</v>
      </c>
      <c r="F113" t="str">
        <f t="shared" si="1"/>
        <v>020185-高速贴片机-YSM20R-2-1</v>
      </c>
      <c r="G113" t="s">
        <v>338</v>
      </c>
      <c r="H113">
        <v>1</v>
      </c>
      <c r="I113" t="s">
        <v>36</v>
      </c>
      <c r="J113" t="s">
        <v>308</v>
      </c>
      <c r="K113" s="5">
        <v>45658</v>
      </c>
      <c r="L113" t="s">
        <v>31</v>
      </c>
      <c r="M113">
        <v>120</v>
      </c>
      <c r="N113">
        <v>1</v>
      </c>
      <c r="P113" s="7">
        <v>424778.76</v>
      </c>
      <c r="Q113" s="7">
        <v>0</v>
      </c>
      <c r="R113" s="7">
        <v>424778.76</v>
      </c>
      <c r="S113" s="7">
        <v>42477.88</v>
      </c>
      <c r="T113" s="7">
        <v>0</v>
      </c>
      <c r="U113" t="s">
        <v>308</v>
      </c>
      <c r="V113" s="7">
        <v>0</v>
      </c>
      <c r="W113">
        <v>160102</v>
      </c>
      <c r="X113">
        <v>160202</v>
      </c>
      <c r="Y113">
        <v>410102</v>
      </c>
    </row>
    <row r="114" spans="1:25">
      <c r="A114" t="s">
        <v>308</v>
      </c>
      <c r="B114" t="s">
        <v>25</v>
      </c>
      <c r="C114" t="s">
        <v>339</v>
      </c>
      <c r="D114" t="s">
        <v>340</v>
      </c>
      <c r="E114" t="s">
        <v>28</v>
      </c>
      <c r="F114" t="str">
        <f t="shared" si="1"/>
        <v>020186-多功能贴 片机-YSM10-1</v>
      </c>
      <c r="G114" t="s">
        <v>341</v>
      </c>
      <c r="H114">
        <v>1</v>
      </c>
      <c r="I114" t="s">
        <v>36</v>
      </c>
      <c r="J114" t="s">
        <v>308</v>
      </c>
      <c r="K114" s="5">
        <v>45658</v>
      </c>
      <c r="L114" t="s">
        <v>31</v>
      </c>
      <c r="M114">
        <v>120</v>
      </c>
      <c r="N114">
        <v>1</v>
      </c>
      <c r="P114" s="7">
        <v>265486.73</v>
      </c>
      <c r="Q114" s="7">
        <v>0</v>
      </c>
      <c r="R114" s="7">
        <v>265486.73</v>
      </c>
      <c r="S114" s="7">
        <v>26548.67</v>
      </c>
      <c r="T114" s="7">
        <v>0</v>
      </c>
      <c r="U114" t="s">
        <v>308</v>
      </c>
      <c r="V114" s="7">
        <v>0</v>
      </c>
      <c r="W114">
        <v>160102</v>
      </c>
      <c r="X114">
        <v>160202</v>
      </c>
      <c r="Y114">
        <v>410102</v>
      </c>
    </row>
    <row r="115" spans="1:25">
      <c r="A115" t="s">
        <v>308</v>
      </c>
      <c r="B115" t="s">
        <v>25</v>
      </c>
      <c r="C115" t="s">
        <v>342</v>
      </c>
      <c r="D115" t="s">
        <v>343</v>
      </c>
      <c r="E115" t="s">
        <v>28</v>
      </c>
      <c r="F115" t="str">
        <f t="shared" si="1"/>
        <v>020187-炉前接驳 台-SVT-100A-1</v>
      </c>
      <c r="G115" t="s">
        <v>344</v>
      </c>
      <c r="H115">
        <v>1</v>
      </c>
      <c r="I115" t="s">
        <v>36</v>
      </c>
      <c r="J115" t="s">
        <v>308</v>
      </c>
      <c r="K115" s="5">
        <v>45658</v>
      </c>
      <c r="L115" t="s">
        <v>31</v>
      </c>
      <c r="M115">
        <v>120</v>
      </c>
      <c r="N115">
        <v>1</v>
      </c>
      <c r="P115" s="7">
        <v>2212.39</v>
      </c>
      <c r="Q115" s="7">
        <v>0</v>
      </c>
      <c r="R115" s="7">
        <v>2212.39</v>
      </c>
      <c r="S115" s="7">
        <v>221.24</v>
      </c>
      <c r="T115" s="7">
        <v>0</v>
      </c>
      <c r="U115" t="s">
        <v>308</v>
      </c>
      <c r="V115" s="7">
        <v>0</v>
      </c>
      <c r="W115">
        <v>160102</v>
      </c>
      <c r="X115">
        <v>160202</v>
      </c>
      <c r="Y115">
        <v>410102</v>
      </c>
    </row>
    <row r="116" spans="1:25">
      <c r="A116" t="s">
        <v>308</v>
      </c>
      <c r="B116" t="s">
        <v>25</v>
      </c>
      <c r="C116" t="s">
        <v>345</v>
      </c>
      <c r="D116" t="s">
        <v>346</v>
      </c>
      <c r="E116" t="s">
        <v>28</v>
      </c>
      <c r="F116" t="str">
        <f t="shared" si="1"/>
        <v>020188-回流焊下板机-HKFX-X250-1</v>
      </c>
      <c r="G116" t="s">
        <v>347</v>
      </c>
      <c r="H116">
        <v>1</v>
      </c>
      <c r="I116" t="s">
        <v>36</v>
      </c>
      <c r="J116" t="s">
        <v>308</v>
      </c>
      <c r="K116" s="5">
        <v>45658</v>
      </c>
      <c r="L116" t="s">
        <v>31</v>
      </c>
      <c r="M116">
        <v>120</v>
      </c>
      <c r="N116">
        <v>1</v>
      </c>
      <c r="P116" s="7">
        <v>6637.17</v>
      </c>
      <c r="Q116" s="7">
        <v>0</v>
      </c>
      <c r="R116" s="7">
        <v>6637.17</v>
      </c>
      <c r="S116" s="7">
        <v>663.72</v>
      </c>
      <c r="T116" s="7">
        <v>0</v>
      </c>
      <c r="U116" t="s">
        <v>308</v>
      </c>
      <c r="V116" s="7">
        <v>0</v>
      </c>
      <c r="W116">
        <v>160102</v>
      </c>
      <c r="X116">
        <v>160202</v>
      </c>
      <c r="Y116">
        <v>410102</v>
      </c>
    </row>
    <row r="117" spans="1:25">
      <c r="A117" t="s">
        <v>308</v>
      </c>
      <c r="B117" t="s">
        <v>25</v>
      </c>
      <c r="C117" t="s">
        <v>348</v>
      </c>
      <c r="D117" t="s">
        <v>349</v>
      </c>
      <c r="E117" t="s">
        <v>28</v>
      </c>
      <c r="F117" t="str">
        <f t="shared" si="1"/>
        <v>020189-AOI-VCTA-A410-1</v>
      </c>
      <c r="G117" t="s">
        <v>350</v>
      </c>
      <c r="H117">
        <v>1</v>
      </c>
      <c r="I117" t="s">
        <v>36</v>
      </c>
      <c r="J117" t="s">
        <v>308</v>
      </c>
      <c r="K117" s="5">
        <v>45658</v>
      </c>
      <c r="L117" t="s">
        <v>31</v>
      </c>
      <c r="M117">
        <v>120</v>
      </c>
      <c r="N117">
        <v>1</v>
      </c>
      <c r="P117" s="7">
        <v>66371.68</v>
      </c>
      <c r="Q117" s="7">
        <v>0</v>
      </c>
      <c r="R117" s="7">
        <v>66371.68</v>
      </c>
      <c r="S117" s="7">
        <v>6637.17</v>
      </c>
      <c r="T117" s="7">
        <v>0</v>
      </c>
      <c r="U117" t="s">
        <v>308</v>
      </c>
      <c r="V117" s="7">
        <v>0</v>
      </c>
      <c r="W117">
        <v>160102</v>
      </c>
      <c r="X117">
        <v>160202</v>
      </c>
      <c r="Y117">
        <v>410102</v>
      </c>
    </row>
    <row r="118" spans="1:25">
      <c r="A118" t="s">
        <v>308</v>
      </c>
      <c r="B118" t="s">
        <v>25</v>
      </c>
      <c r="C118" t="s">
        <v>351</v>
      </c>
      <c r="D118" t="s">
        <v>352</v>
      </c>
      <c r="E118" t="s">
        <v>28</v>
      </c>
      <c r="F118" t="str">
        <f t="shared" si="1"/>
        <v>020190-插件机上 板机-HKFX-S250-1</v>
      </c>
      <c r="G118" t="s">
        <v>329</v>
      </c>
      <c r="H118">
        <v>1</v>
      </c>
      <c r="I118" t="s">
        <v>36</v>
      </c>
      <c r="J118" t="s">
        <v>308</v>
      </c>
      <c r="K118" s="5">
        <v>45658</v>
      </c>
      <c r="L118" t="s">
        <v>31</v>
      </c>
      <c r="M118">
        <v>120</v>
      </c>
      <c r="N118">
        <v>1</v>
      </c>
      <c r="P118" s="7">
        <v>6637.17</v>
      </c>
      <c r="Q118" s="7">
        <v>0</v>
      </c>
      <c r="R118" s="7">
        <v>6637.17</v>
      </c>
      <c r="S118" s="7">
        <v>663.72</v>
      </c>
      <c r="T118" s="7">
        <v>0</v>
      </c>
      <c r="U118" t="s">
        <v>308</v>
      </c>
      <c r="V118" s="7">
        <v>0</v>
      </c>
      <c r="W118">
        <v>160102</v>
      </c>
      <c r="X118">
        <v>160202</v>
      </c>
      <c r="Y118">
        <v>410102</v>
      </c>
    </row>
    <row r="119" spans="1:25">
      <c r="A119" t="s">
        <v>308</v>
      </c>
      <c r="B119" t="s">
        <v>25</v>
      </c>
      <c r="C119" t="s">
        <v>353</v>
      </c>
      <c r="D119" t="s">
        <v>354</v>
      </c>
      <c r="E119" t="s">
        <v>28</v>
      </c>
      <c r="F119" t="str">
        <f t="shared" si="1"/>
        <v>020191-自动插件 机-RZD-S-1</v>
      </c>
      <c r="G119" t="s">
        <v>355</v>
      </c>
      <c r="H119">
        <v>1</v>
      </c>
      <c r="I119" t="s">
        <v>36</v>
      </c>
      <c r="J119" t="s">
        <v>308</v>
      </c>
      <c r="K119" s="5">
        <v>45658</v>
      </c>
      <c r="L119" t="s">
        <v>31</v>
      </c>
      <c r="M119">
        <v>120</v>
      </c>
      <c r="N119">
        <v>1</v>
      </c>
      <c r="P119" s="7">
        <v>115044.25</v>
      </c>
      <c r="Q119" s="7">
        <v>0</v>
      </c>
      <c r="R119" s="7">
        <v>115044.25</v>
      </c>
      <c r="S119" s="7">
        <v>11504.43</v>
      </c>
      <c r="T119" s="7">
        <v>0</v>
      </c>
      <c r="U119" t="s">
        <v>308</v>
      </c>
      <c r="V119" s="7">
        <v>0</v>
      </c>
      <c r="W119">
        <v>160102</v>
      </c>
      <c r="X119">
        <v>160202</v>
      </c>
      <c r="Y119">
        <v>410102</v>
      </c>
    </row>
    <row r="120" spans="1:25">
      <c r="A120" t="s">
        <v>308</v>
      </c>
      <c r="B120" t="s">
        <v>25</v>
      </c>
      <c r="C120" t="s">
        <v>356</v>
      </c>
      <c r="E120" t="s">
        <v>28</v>
      </c>
      <c r="F120" t="str">
        <f t="shared" si="1"/>
        <v>020192--HKFX-X250-1</v>
      </c>
      <c r="G120" t="s">
        <v>347</v>
      </c>
      <c r="H120">
        <v>1</v>
      </c>
      <c r="I120" t="s">
        <v>36</v>
      </c>
      <c r="J120" t="s">
        <v>308</v>
      </c>
      <c r="K120" s="5">
        <v>45658</v>
      </c>
      <c r="L120" t="s">
        <v>31</v>
      </c>
      <c r="M120">
        <v>120</v>
      </c>
      <c r="N120">
        <v>1</v>
      </c>
      <c r="P120" s="7">
        <v>6637.17</v>
      </c>
      <c r="Q120" s="7">
        <v>0</v>
      </c>
      <c r="R120" s="7">
        <v>6637.17</v>
      </c>
      <c r="S120" s="7">
        <v>663.72</v>
      </c>
      <c r="T120" s="7">
        <v>0</v>
      </c>
      <c r="U120" t="s">
        <v>308</v>
      </c>
      <c r="V120" s="7">
        <v>0</v>
      </c>
      <c r="W120">
        <v>160102</v>
      </c>
      <c r="X120">
        <v>160202</v>
      </c>
      <c r="Y120">
        <v>410102</v>
      </c>
    </row>
    <row r="121" spans="1:25">
      <c r="A121" t="s">
        <v>308</v>
      </c>
      <c r="B121" t="s">
        <v>25</v>
      </c>
      <c r="C121" t="s">
        <v>357</v>
      </c>
      <c r="D121" t="s">
        <v>358</v>
      </c>
      <c r="E121" t="s">
        <v>28</v>
      </c>
      <c r="F121" t="str">
        <f t="shared" si="1"/>
        <v>020193-插件线--1</v>
      </c>
      <c r="H121">
        <v>1</v>
      </c>
      <c r="I121" t="s">
        <v>36</v>
      </c>
      <c r="J121" t="s">
        <v>308</v>
      </c>
      <c r="K121" s="5">
        <v>45658</v>
      </c>
      <c r="L121" t="s">
        <v>31</v>
      </c>
      <c r="M121">
        <v>120</v>
      </c>
      <c r="N121">
        <v>1</v>
      </c>
      <c r="P121" s="7">
        <v>14159.29</v>
      </c>
      <c r="Q121" s="7">
        <v>0</v>
      </c>
      <c r="R121" s="7">
        <v>14159.29</v>
      </c>
      <c r="S121" s="7">
        <v>1415.93</v>
      </c>
      <c r="T121" s="7">
        <v>0</v>
      </c>
      <c r="U121" t="s">
        <v>308</v>
      </c>
      <c r="V121" s="7">
        <v>0</v>
      </c>
      <c r="W121">
        <v>160102</v>
      </c>
      <c r="X121">
        <v>160202</v>
      </c>
      <c r="Y121">
        <v>410102</v>
      </c>
    </row>
    <row r="122" spans="1:25">
      <c r="A122" t="s">
        <v>308</v>
      </c>
      <c r="B122" t="s">
        <v>25</v>
      </c>
      <c r="C122" t="s">
        <v>359</v>
      </c>
      <c r="D122" t="s">
        <v>360</v>
      </c>
      <c r="E122" t="s">
        <v>28</v>
      </c>
      <c r="F122" t="str">
        <f t="shared" si="1"/>
        <v>020194-波峰焊-MPS-350-II-1</v>
      </c>
      <c r="G122" t="s">
        <v>361</v>
      </c>
      <c r="H122">
        <v>1</v>
      </c>
      <c r="I122" t="s">
        <v>36</v>
      </c>
      <c r="J122" t="s">
        <v>308</v>
      </c>
      <c r="K122" s="5">
        <v>45658</v>
      </c>
      <c r="L122" t="s">
        <v>31</v>
      </c>
      <c r="M122">
        <v>120</v>
      </c>
      <c r="N122">
        <v>1</v>
      </c>
      <c r="P122" s="7">
        <v>57522.12</v>
      </c>
      <c r="Q122" s="7">
        <v>0</v>
      </c>
      <c r="R122" s="7">
        <v>57522.12</v>
      </c>
      <c r="S122" s="7">
        <v>5752.21</v>
      </c>
      <c r="T122" s="7">
        <v>0</v>
      </c>
      <c r="U122" t="s">
        <v>308</v>
      </c>
      <c r="V122" s="7">
        <v>0</v>
      </c>
      <c r="W122">
        <v>160102</v>
      </c>
      <c r="X122">
        <v>160202</v>
      </c>
      <c r="Y122">
        <v>410102</v>
      </c>
    </row>
    <row r="123" spans="1:25">
      <c r="A123" t="s">
        <v>308</v>
      </c>
      <c r="B123" t="s">
        <v>25</v>
      </c>
      <c r="C123" t="s">
        <v>362</v>
      </c>
      <c r="D123" t="s">
        <v>363</v>
      </c>
      <c r="E123" t="s">
        <v>28</v>
      </c>
      <c r="F123" t="str">
        <f t="shared" si="1"/>
        <v>020195-波峰焊下 板机-0UC-400A-1</v>
      </c>
      <c r="G123" t="s">
        <v>364</v>
      </c>
      <c r="H123">
        <v>1</v>
      </c>
      <c r="I123" t="s">
        <v>36</v>
      </c>
      <c r="J123" t="s">
        <v>308</v>
      </c>
      <c r="K123" s="5">
        <v>45658</v>
      </c>
      <c r="L123" t="s">
        <v>31</v>
      </c>
      <c r="M123">
        <v>120</v>
      </c>
      <c r="N123">
        <v>1</v>
      </c>
      <c r="P123" s="7">
        <v>3982.3</v>
      </c>
      <c r="Q123" s="7">
        <v>0</v>
      </c>
      <c r="R123" s="7">
        <v>3982.3</v>
      </c>
      <c r="S123" s="7">
        <v>199.12</v>
      </c>
      <c r="T123" s="7">
        <v>0</v>
      </c>
      <c r="U123" t="s">
        <v>308</v>
      </c>
      <c r="V123" s="7">
        <v>0</v>
      </c>
      <c r="W123">
        <v>160102</v>
      </c>
      <c r="X123">
        <v>160202</v>
      </c>
      <c r="Y123">
        <v>410102</v>
      </c>
    </row>
    <row r="124" spans="1:25">
      <c r="A124" t="s">
        <v>308</v>
      </c>
      <c r="B124" t="s">
        <v>25</v>
      </c>
      <c r="C124" t="s">
        <v>365</v>
      </c>
      <c r="D124" t="s">
        <v>366</v>
      </c>
      <c r="E124" t="s">
        <v>28</v>
      </c>
      <c r="F124" t="str">
        <f t="shared" si="1"/>
        <v>020196-炉温测试 仪-KIC-2000-1</v>
      </c>
      <c r="G124" t="s">
        <v>367</v>
      </c>
      <c r="H124">
        <v>1</v>
      </c>
      <c r="I124" t="s">
        <v>36</v>
      </c>
      <c r="J124" t="s">
        <v>308</v>
      </c>
      <c r="K124" s="5">
        <v>45658</v>
      </c>
      <c r="L124" t="s">
        <v>31</v>
      </c>
      <c r="M124">
        <v>120</v>
      </c>
      <c r="N124">
        <v>1</v>
      </c>
      <c r="P124" s="7">
        <v>7876.11</v>
      </c>
      <c r="Q124" s="7">
        <v>0</v>
      </c>
      <c r="R124" s="7">
        <v>7876.11</v>
      </c>
      <c r="S124" s="7">
        <v>787.61</v>
      </c>
      <c r="T124" s="7">
        <v>0</v>
      </c>
      <c r="U124" t="s">
        <v>308</v>
      </c>
      <c r="V124" s="7">
        <v>0</v>
      </c>
      <c r="W124">
        <v>160102</v>
      </c>
      <c r="X124">
        <v>160202</v>
      </c>
      <c r="Y124">
        <v>410102</v>
      </c>
    </row>
    <row r="125" spans="1:25">
      <c r="A125" t="s">
        <v>308</v>
      </c>
      <c r="B125" t="s">
        <v>25</v>
      </c>
      <c r="C125" t="s">
        <v>368</v>
      </c>
      <c r="D125" t="s">
        <v>369</v>
      </c>
      <c r="E125" t="s">
        <v>28</v>
      </c>
      <c r="F125" t="str">
        <f t="shared" si="1"/>
        <v>020197-进板接驳台-JB-800-1</v>
      </c>
      <c r="G125" t="s">
        <v>370</v>
      </c>
      <c r="H125">
        <v>1</v>
      </c>
      <c r="I125" t="s">
        <v>36</v>
      </c>
      <c r="J125" t="s">
        <v>308</v>
      </c>
      <c r="K125" s="5">
        <v>45658</v>
      </c>
      <c r="L125" t="s">
        <v>31</v>
      </c>
      <c r="M125">
        <v>120</v>
      </c>
      <c r="N125">
        <v>1</v>
      </c>
      <c r="P125" s="7">
        <v>3539.82</v>
      </c>
      <c r="Q125" s="7">
        <v>0</v>
      </c>
      <c r="R125" s="7">
        <v>3539.82</v>
      </c>
      <c r="S125" s="7">
        <v>353.98</v>
      </c>
      <c r="T125" s="7">
        <v>0</v>
      </c>
      <c r="U125" t="s">
        <v>308</v>
      </c>
      <c r="V125" s="7">
        <v>0</v>
      </c>
      <c r="W125">
        <v>160102</v>
      </c>
      <c r="X125">
        <v>160202</v>
      </c>
      <c r="Y125">
        <v>410102</v>
      </c>
    </row>
    <row r="126" spans="1:25">
      <c r="A126" t="s">
        <v>308</v>
      </c>
      <c r="B126" t="s">
        <v>25</v>
      </c>
      <c r="C126" t="s">
        <v>371</v>
      </c>
      <c r="D126" t="s">
        <v>372</v>
      </c>
      <c r="E126" t="s">
        <v>28</v>
      </c>
      <c r="F126" t="str">
        <f t="shared" si="1"/>
        <v>020198-涂覆机-JMC-450-5-1</v>
      </c>
      <c r="G126" t="s">
        <v>373</v>
      </c>
      <c r="H126">
        <v>1</v>
      </c>
      <c r="I126" t="s">
        <v>36</v>
      </c>
      <c r="J126" t="s">
        <v>308</v>
      </c>
      <c r="K126" s="5">
        <v>45658</v>
      </c>
      <c r="L126" t="s">
        <v>31</v>
      </c>
      <c r="M126">
        <v>120</v>
      </c>
      <c r="N126">
        <v>1</v>
      </c>
      <c r="P126" s="7">
        <v>79646.02</v>
      </c>
      <c r="Q126" s="7">
        <v>0</v>
      </c>
      <c r="R126" s="7">
        <v>79646.02</v>
      </c>
      <c r="S126" s="7">
        <v>7964.6</v>
      </c>
      <c r="T126" s="7">
        <v>0</v>
      </c>
      <c r="U126" t="s">
        <v>308</v>
      </c>
      <c r="V126" s="7">
        <v>0</v>
      </c>
      <c r="W126">
        <v>160102</v>
      </c>
      <c r="X126">
        <v>160202</v>
      </c>
      <c r="Y126">
        <v>410102</v>
      </c>
    </row>
    <row r="127" spans="1:25">
      <c r="A127" t="s">
        <v>308</v>
      </c>
      <c r="B127" t="s">
        <v>25</v>
      </c>
      <c r="C127" t="s">
        <v>374</v>
      </c>
      <c r="D127" t="s">
        <v>375</v>
      </c>
      <c r="E127" t="s">
        <v>28</v>
      </c>
      <c r="F127" t="str">
        <f t="shared" si="1"/>
        <v>020199-密封检查台-JT-800-1</v>
      </c>
      <c r="G127" t="s">
        <v>376</v>
      </c>
      <c r="H127">
        <v>1</v>
      </c>
      <c r="I127" t="s">
        <v>36</v>
      </c>
      <c r="J127" t="s">
        <v>308</v>
      </c>
      <c r="K127" s="5">
        <v>45658</v>
      </c>
      <c r="L127" t="s">
        <v>31</v>
      </c>
      <c r="M127">
        <v>120</v>
      </c>
      <c r="N127">
        <v>1</v>
      </c>
      <c r="P127" s="7">
        <v>3982.3</v>
      </c>
      <c r="Q127" s="7">
        <v>0</v>
      </c>
      <c r="R127" s="7">
        <v>3982.3</v>
      </c>
      <c r="S127" s="7">
        <v>398.23</v>
      </c>
      <c r="T127" s="7">
        <v>0</v>
      </c>
      <c r="U127" t="s">
        <v>308</v>
      </c>
      <c r="V127" s="7">
        <v>0</v>
      </c>
      <c r="W127">
        <v>160102</v>
      </c>
      <c r="X127">
        <v>160202</v>
      </c>
      <c r="Y127">
        <v>410102</v>
      </c>
    </row>
    <row r="128" spans="1:25">
      <c r="A128" t="s">
        <v>308</v>
      </c>
      <c r="B128" t="s">
        <v>25</v>
      </c>
      <c r="C128" t="s">
        <v>377</v>
      </c>
      <c r="D128" t="s">
        <v>378</v>
      </c>
      <c r="E128" t="s">
        <v>28</v>
      </c>
      <c r="F128" t="str">
        <f t="shared" si="1"/>
        <v>020200-红外固化 炉-IR-3000-1</v>
      </c>
      <c r="G128" t="s">
        <v>379</v>
      </c>
      <c r="H128">
        <v>1</v>
      </c>
      <c r="I128" t="s">
        <v>36</v>
      </c>
      <c r="J128" t="s">
        <v>308</v>
      </c>
      <c r="K128" s="5">
        <v>45658</v>
      </c>
      <c r="L128" t="s">
        <v>31</v>
      </c>
      <c r="M128">
        <v>120</v>
      </c>
      <c r="N128">
        <v>1</v>
      </c>
      <c r="P128" s="7">
        <v>30973.45</v>
      </c>
      <c r="Q128" s="7">
        <v>0</v>
      </c>
      <c r="R128" s="7">
        <v>30973.45</v>
      </c>
      <c r="S128" s="7">
        <v>3097.35</v>
      </c>
      <c r="T128" s="7">
        <v>0</v>
      </c>
      <c r="U128" t="s">
        <v>308</v>
      </c>
      <c r="V128" s="7">
        <v>0</v>
      </c>
      <c r="W128">
        <v>160102</v>
      </c>
      <c r="X128">
        <v>160202</v>
      </c>
      <c r="Y128">
        <v>410102</v>
      </c>
    </row>
    <row r="129" spans="1:25">
      <c r="A129" t="s">
        <v>308</v>
      </c>
      <c r="B129" t="s">
        <v>25</v>
      </c>
      <c r="C129" t="s">
        <v>380</v>
      </c>
      <c r="D129" t="s">
        <v>381</v>
      </c>
      <c r="E129" t="s">
        <v>28</v>
      </c>
      <c r="F129" t="str">
        <f t="shared" si="1"/>
        <v>020201-炉后接驳 台-JB-800A-1</v>
      </c>
      <c r="G129" t="s">
        <v>382</v>
      </c>
      <c r="H129">
        <v>1</v>
      </c>
      <c r="I129" t="s">
        <v>36</v>
      </c>
      <c r="J129" t="s">
        <v>308</v>
      </c>
      <c r="K129" s="5">
        <v>45658</v>
      </c>
      <c r="L129" t="s">
        <v>31</v>
      </c>
      <c r="M129">
        <v>120</v>
      </c>
      <c r="N129">
        <v>1</v>
      </c>
      <c r="P129" s="7">
        <v>3982.3</v>
      </c>
      <c r="Q129" s="7">
        <v>0</v>
      </c>
      <c r="R129" s="7">
        <v>3982.3</v>
      </c>
      <c r="S129" s="7">
        <v>398.23</v>
      </c>
      <c r="T129" s="7">
        <v>0</v>
      </c>
      <c r="U129" t="s">
        <v>308</v>
      </c>
      <c r="V129" s="7">
        <v>0</v>
      </c>
      <c r="W129">
        <v>160102</v>
      </c>
      <c r="X129">
        <v>160202</v>
      </c>
      <c r="Y129">
        <v>410102</v>
      </c>
    </row>
    <row r="130" spans="1:25">
      <c r="A130" t="s">
        <v>308</v>
      </c>
      <c r="B130" t="s">
        <v>25</v>
      </c>
      <c r="C130" t="s">
        <v>383</v>
      </c>
      <c r="D130" t="s">
        <v>384</v>
      </c>
      <c r="E130" t="s">
        <v>28</v>
      </c>
      <c r="F130" t="str">
        <f t="shared" si="1"/>
        <v>020202-治具-定制-1</v>
      </c>
      <c r="G130" t="s">
        <v>385</v>
      </c>
      <c r="H130">
        <v>1</v>
      </c>
      <c r="I130" t="s">
        <v>36</v>
      </c>
      <c r="J130" t="s">
        <v>308</v>
      </c>
      <c r="K130" s="5">
        <v>45658</v>
      </c>
      <c r="L130" t="s">
        <v>31</v>
      </c>
      <c r="M130">
        <v>120</v>
      </c>
      <c r="N130">
        <v>1</v>
      </c>
      <c r="P130" s="7">
        <v>884.96</v>
      </c>
      <c r="Q130" s="7">
        <v>0</v>
      </c>
      <c r="R130" s="7">
        <v>884.96</v>
      </c>
      <c r="S130" s="7">
        <v>88.5</v>
      </c>
      <c r="T130" s="7">
        <v>0</v>
      </c>
      <c r="U130" t="s">
        <v>308</v>
      </c>
      <c r="V130" s="7">
        <v>0</v>
      </c>
      <c r="W130">
        <v>160102</v>
      </c>
      <c r="X130">
        <v>160202</v>
      </c>
      <c r="Y130">
        <v>410102</v>
      </c>
    </row>
    <row r="131" spans="1:25">
      <c r="A131" t="s">
        <v>308</v>
      </c>
      <c r="B131" t="s">
        <v>25</v>
      </c>
      <c r="C131" t="s">
        <v>386</v>
      </c>
      <c r="D131" t="s">
        <v>387</v>
      </c>
      <c r="E131" t="s">
        <v>28</v>
      </c>
      <c r="F131" t="str">
        <f>C131&amp;E131&amp;D131&amp;E131&amp;G131&amp;E131&amp;H131</f>
        <v>020203-在线SPI光学检查机-劲拓JUTI-L-1</v>
      </c>
      <c r="G131" t="s">
        <v>388</v>
      </c>
      <c r="H131">
        <v>1</v>
      </c>
      <c r="I131" t="s">
        <v>36</v>
      </c>
      <c r="J131" t="s">
        <v>308</v>
      </c>
      <c r="K131" s="5">
        <v>45658</v>
      </c>
      <c r="L131" t="s">
        <v>31</v>
      </c>
      <c r="M131">
        <v>120</v>
      </c>
      <c r="N131">
        <v>1</v>
      </c>
      <c r="P131" s="7">
        <v>63716.81</v>
      </c>
      <c r="Q131" s="7">
        <v>0</v>
      </c>
      <c r="R131" s="7">
        <v>63716.81</v>
      </c>
      <c r="S131" s="7">
        <v>6371.68</v>
      </c>
      <c r="T131" s="7">
        <v>0</v>
      </c>
      <c r="U131" t="s">
        <v>308</v>
      </c>
      <c r="V131" s="7">
        <v>0</v>
      </c>
      <c r="W131">
        <v>160102</v>
      </c>
      <c r="X131">
        <v>160202</v>
      </c>
      <c r="Y131">
        <v>410102</v>
      </c>
    </row>
    <row r="132" spans="1:25">
      <c r="A132" t="s">
        <v>308</v>
      </c>
      <c r="B132" t="s">
        <v>25</v>
      </c>
      <c r="C132" t="s">
        <v>389</v>
      </c>
      <c r="D132" t="s">
        <v>390</v>
      </c>
      <c r="E132" t="s">
        <v>28</v>
      </c>
      <c r="F132" t="str">
        <f>C132&amp;E132&amp;D132&amp;E132&amp;G132&amp;E132&amp;H132</f>
        <v>020204-全自动分板机-HK-360SD-1</v>
      </c>
      <c r="G132" t="s">
        <v>391</v>
      </c>
      <c r="H132">
        <v>1</v>
      </c>
      <c r="I132" t="s">
        <v>36</v>
      </c>
      <c r="J132" t="s">
        <v>308</v>
      </c>
      <c r="K132" s="5">
        <v>45658</v>
      </c>
      <c r="L132" t="s">
        <v>31</v>
      </c>
      <c r="M132">
        <v>120</v>
      </c>
      <c r="N132">
        <v>1</v>
      </c>
      <c r="P132" s="7">
        <v>38053.1</v>
      </c>
      <c r="Q132" s="7">
        <v>0</v>
      </c>
      <c r="R132" s="7">
        <v>38053.1</v>
      </c>
      <c r="S132" s="7">
        <v>3805.31</v>
      </c>
      <c r="T132" s="7">
        <v>0</v>
      </c>
      <c r="U132" t="s">
        <v>308</v>
      </c>
      <c r="V132" s="7">
        <v>0</v>
      </c>
      <c r="W132">
        <v>160102</v>
      </c>
      <c r="X132">
        <v>160202</v>
      </c>
      <c r="Y132">
        <v>410102</v>
      </c>
    </row>
    <row r="133" spans="1:25">
      <c r="A133" t="s">
        <v>308</v>
      </c>
      <c r="B133" t="s">
        <v>25</v>
      </c>
      <c r="C133" t="s">
        <v>392</v>
      </c>
      <c r="D133" t="s">
        <v>360</v>
      </c>
      <c r="E133" t="s">
        <v>28</v>
      </c>
      <c r="F133" t="str">
        <f>C133&amp;E133&amp;D133&amp;E133&amp;G133&amp;E133&amp;H133</f>
        <v>020205-波峰焊-sel-pot400-1</v>
      </c>
      <c r="G133" t="s">
        <v>393</v>
      </c>
      <c r="H133">
        <v>1</v>
      </c>
      <c r="I133" t="s">
        <v>36</v>
      </c>
      <c r="J133" t="s">
        <v>308</v>
      </c>
      <c r="K133" s="5">
        <v>45658</v>
      </c>
      <c r="L133" t="s">
        <v>31</v>
      </c>
      <c r="M133">
        <v>120</v>
      </c>
      <c r="N133">
        <v>1</v>
      </c>
      <c r="P133" s="7">
        <v>176991.15</v>
      </c>
      <c r="Q133" s="7">
        <v>0</v>
      </c>
      <c r="R133" s="7">
        <v>176991.15</v>
      </c>
      <c r="S133" s="7">
        <v>17699.12</v>
      </c>
      <c r="T133" s="7">
        <v>0</v>
      </c>
      <c r="U133" t="s">
        <v>308</v>
      </c>
      <c r="V133" s="7">
        <v>0</v>
      </c>
      <c r="W133">
        <v>160102</v>
      </c>
      <c r="X133">
        <v>160202</v>
      </c>
      <c r="Y133">
        <v>410102</v>
      </c>
    </row>
    <row r="134" spans="1:25">
      <c r="A134" t="s">
        <v>308</v>
      </c>
      <c r="B134" t="s">
        <v>25</v>
      </c>
      <c r="C134" t="s">
        <v>394</v>
      </c>
      <c r="D134" t="s">
        <v>395</v>
      </c>
      <c r="E134" t="s">
        <v>28</v>
      </c>
      <c r="F134" t="str">
        <f>C134&amp;E134&amp;D134&amp;E134&amp;G134&amp;E134&amp;H134</f>
        <v>020206-回流焊-KTR-1000-N-1</v>
      </c>
      <c r="G134" t="s">
        <v>396</v>
      </c>
      <c r="H134">
        <v>1</v>
      </c>
      <c r="I134" t="s">
        <v>36</v>
      </c>
      <c r="J134" t="s">
        <v>308</v>
      </c>
      <c r="K134" s="5">
        <v>45658</v>
      </c>
      <c r="L134" t="s">
        <v>31</v>
      </c>
      <c r="M134">
        <v>120</v>
      </c>
      <c r="N134">
        <v>1</v>
      </c>
      <c r="P134" s="7">
        <v>141592.92</v>
      </c>
      <c r="Q134" s="7">
        <v>0</v>
      </c>
      <c r="R134" s="7">
        <v>141592.92</v>
      </c>
      <c r="S134" s="7">
        <v>14159.29</v>
      </c>
      <c r="T134" s="7">
        <v>0</v>
      </c>
      <c r="U134" t="s">
        <v>308</v>
      </c>
      <c r="V134" s="7">
        <v>0</v>
      </c>
      <c r="W134">
        <v>160102</v>
      </c>
      <c r="X134">
        <v>160202</v>
      </c>
      <c r="Y134">
        <v>410102</v>
      </c>
    </row>
    <row r="135" spans="1:25">
      <c r="A135" t="s">
        <v>308</v>
      </c>
      <c r="B135" t="s">
        <v>25</v>
      </c>
      <c r="C135" t="s">
        <v>397</v>
      </c>
      <c r="D135" t="s">
        <v>398</v>
      </c>
      <c r="E135" t="s">
        <v>28</v>
      </c>
      <c r="F135" t="str">
        <f>C135&amp;E135&amp;D135&amp;E135&amp;G135&amp;E135&amp;H135</f>
        <v>020207-清洗烘干机-K-1800-1</v>
      </c>
      <c r="G135" t="s">
        <v>399</v>
      </c>
      <c r="H135">
        <v>1</v>
      </c>
      <c r="I135" t="s">
        <v>36</v>
      </c>
      <c r="J135" t="s">
        <v>308</v>
      </c>
      <c r="K135" s="5">
        <v>45658</v>
      </c>
      <c r="L135" t="s">
        <v>31</v>
      </c>
      <c r="M135">
        <v>120</v>
      </c>
      <c r="N135">
        <v>1</v>
      </c>
      <c r="P135" s="7">
        <v>7964.6</v>
      </c>
      <c r="Q135" s="7">
        <v>0</v>
      </c>
      <c r="R135" s="7">
        <v>7964.6</v>
      </c>
      <c r="S135" s="7">
        <v>796.46</v>
      </c>
      <c r="T135" s="7">
        <v>0</v>
      </c>
      <c r="U135" t="s">
        <v>308</v>
      </c>
      <c r="V135" s="7">
        <v>0</v>
      </c>
      <c r="W135">
        <v>160102</v>
      </c>
      <c r="X135">
        <v>160202</v>
      </c>
      <c r="Y135">
        <v>410102</v>
      </c>
    </row>
    <row r="136" spans="1:25">
      <c r="A136" t="s">
        <v>120</v>
      </c>
      <c r="B136" t="s">
        <v>400</v>
      </c>
      <c r="C136" t="s">
        <v>401</v>
      </c>
      <c r="D136" t="s">
        <v>402</v>
      </c>
      <c r="E136" t="s">
        <v>28</v>
      </c>
      <c r="F136" t="str">
        <f t="shared" ref="F136:F193" si="2">C136&amp;E136&amp;D136&amp;E136&amp;G136&amp;E136&amp;H136</f>
        <v>020095-移动空调-KYR-40/NARA1B(灰）-1</v>
      </c>
      <c r="G136" t="s">
        <v>403</v>
      </c>
      <c r="H136">
        <v>1</v>
      </c>
      <c r="I136" t="s">
        <v>36</v>
      </c>
      <c r="J136" t="s">
        <v>120</v>
      </c>
      <c r="K136" s="5">
        <v>45658</v>
      </c>
      <c r="L136" t="s">
        <v>31</v>
      </c>
      <c r="M136">
        <v>120</v>
      </c>
      <c r="N136">
        <v>1</v>
      </c>
      <c r="O136" t="s">
        <v>123</v>
      </c>
      <c r="P136" s="7">
        <v>2830.97</v>
      </c>
      <c r="Q136" s="7">
        <v>127.38</v>
      </c>
      <c r="R136" s="7">
        <v>2703.59</v>
      </c>
      <c r="S136" s="7">
        <v>283.1</v>
      </c>
      <c r="T136" s="7">
        <v>21.23</v>
      </c>
      <c r="U136" t="s">
        <v>120</v>
      </c>
      <c r="V136" s="7">
        <v>127.38</v>
      </c>
      <c r="W136">
        <v>160103</v>
      </c>
      <c r="X136">
        <v>160203</v>
      </c>
      <c r="Y136">
        <v>410102</v>
      </c>
    </row>
    <row r="137" spans="1:25">
      <c r="A137" t="s">
        <v>404</v>
      </c>
      <c r="B137" t="s">
        <v>400</v>
      </c>
      <c r="C137" t="s">
        <v>405</v>
      </c>
      <c r="D137" t="s">
        <v>406</v>
      </c>
      <c r="E137" t="s">
        <v>28</v>
      </c>
      <c r="F137" t="str">
        <f t="shared" si="2"/>
        <v>030001-环形线圈绕线机--1</v>
      </c>
      <c r="H137">
        <v>1</v>
      </c>
      <c r="I137" t="s">
        <v>30</v>
      </c>
      <c r="J137" t="s">
        <v>404</v>
      </c>
      <c r="K137" s="5">
        <v>44440</v>
      </c>
      <c r="L137" t="s">
        <v>407</v>
      </c>
      <c r="M137">
        <v>60</v>
      </c>
      <c r="N137">
        <v>1</v>
      </c>
      <c r="O137" t="s">
        <v>408</v>
      </c>
      <c r="P137" s="7">
        <v>15929.2</v>
      </c>
      <c r="Q137" s="7">
        <v>10088.4</v>
      </c>
      <c r="R137" s="7">
        <v>5840.8</v>
      </c>
      <c r="S137" s="7">
        <v>796.46</v>
      </c>
      <c r="T137" s="7">
        <v>252.21</v>
      </c>
      <c r="U137" t="s">
        <v>409</v>
      </c>
      <c r="V137" s="7">
        <v>6053.04</v>
      </c>
      <c r="W137">
        <v>160103</v>
      </c>
      <c r="X137">
        <v>160203</v>
      </c>
      <c r="Y137">
        <v>56021701</v>
      </c>
    </row>
    <row r="138" spans="1:25">
      <c r="A138" t="s">
        <v>404</v>
      </c>
      <c r="B138" t="s">
        <v>400</v>
      </c>
      <c r="C138" t="s">
        <v>410</v>
      </c>
      <c r="D138" t="s">
        <v>406</v>
      </c>
      <c r="E138" t="s">
        <v>28</v>
      </c>
      <c r="F138" t="str">
        <f t="shared" si="2"/>
        <v>030002-环形线圈绕线机--1</v>
      </c>
      <c r="H138">
        <v>1</v>
      </c>
      <c r="I138" t="s">
        <v>30</v>
      </c>
      <c r="J138" t="s">
        <v>404</v>
      </c>
      <c r="K138" s="5">
        <v>44440</v>
      </c>
      <c r="L138" t="s">
        <v>407</v>
      </c>
      <c r="M138">
        <v>60</v>
      </c>
      <c r="N138">
        <v>1</v>
      </c>
      <c r="O138" t="s">
        <v>408</v>
      </c>
      <c r="P138" s="7">
        <v>15929.2</v>
      </c>
      <c r="Q138" s="7">
        <v>10088.4</v>
      </c>
      <c r="R138" s="7">
        <v>5840.8</v>
      </c>
      <c r="S138" s="7">
        <v>796.46</v>
      </c>
      <c r="T138" s="7">
        <v>252.21</v>
      </c>
      <c r="U138" t="s">
        <v>409</v>
      </c>
      <c r="V138" s="7">
        <v>6053.04</v>
      </c>
      <c r="W138">
        <v>160103</v>
      </c>
      <c r="X138">
        <v>160203</v>
      </c>
      <c r="Y138">
        <v>56021701</v>
      </c>
    </row>
    <row r="139" spans="1:25">
      <c r="A139" t="s">
        <v>411</v>
      </c>
      <c r="B139" t="s">
        <v>400</v>
      </c>
      <c r="C139" t="s">
        <v>412</v>
      </c>
      <c r="D139" t="s">
        <v>413</v>
      </c>
      <c r="E139" t="s">
        <v>28</v>
      </c>
      <c r="F139" t="str">
        <f t="shared" si="2"/>
        <v>030003-单项电能表检验装置--1</v>
      </c>
      <c r="H139">
        <v>1</v>
      </c>
      <c r="I139" t="s">
        <v>30</v>
      </c>
      <c r="J139" t="s">
        <v>411</v>
      </c>
      <c r="K139" s="5">
        <v>44470</v>
      </c>
      <c r="L139" t="s">
        <v>407</v>
      </c>
      <c r="M139">
        <v>60</v>
      </c>
      <c r="N139">
        <v>1</v>
      </c>
      <c r="O139" t="s">
        <v>414</v>
      </c>
      <c r="P139" s="7">
        <v>41592.92</v>
      </c>
      <c r="Q139" s="7">
        <v>25683.45</v>
      </c>
      <c r="R139" s="7">
        <v>15909.47</v>
      </c>
      <c r="S139" s="7">
        <v>2079.65</v>
      </c>
      <c r="T139" s="7">
        <v>658.55</v>
      </c>
      <c r="U139" t="s">
        <v>409</v>
      </c>
      <c r="V139" s="7">
        <v>15805.2</v>
      </c>
      <c r="W139">
        <v>160103</v>
      </c>
      <c r="X139">
        <v>160203</v>
      </c>
      <c r="Y139">
        <v>56021701</v>
      </c>
    </row>
    <row r="140" spans="1:25">
      <c r="A140" t="s">
        <v>411</v>
      </c>
      <c r="B140" t="s">
        <v>400</v>
      </c>
      <c r="C140" t="s">
        <v>415</v>
      </c>
      <c r="D140" t="s">
        <v>134</v>
      </c>
      <c r="E140" t="s">
        <v>28</v>
      </c>
      <c r="F140" t="str">
        <f t="shared" si="2"/>
        <v>030004-三相电能表便携式检验装置--1</v>
      </c>
      <c r="H140">
        <v>1</v>
      </c>
      <c r="I140" t="s">
        <v>30</v>
      </c>
      <c r="J140" t="s">
        <v>411</v>
      </c>
      <c r="K140" s="5">
        <v>44470</v>
      </c>
      <c r="L140" t="s">
        <v>407</v>
      </c>
      <c r="M140">
        <v>60</v>
      </c>
      <c r="N140">
        <v>1</v>
      </c>
      <c r="O140" t="s">
        <v>414</v>
      </c>
      <c r="P140" s="7">
        <v>38053.1</v>
      </c>
      <c r="Q140" s="7">
        <v>23497.89</v>
      </c>
      <c r="R140" s="7">
        <v>14555.21</v>
      </c>
      <c r="S140" s="7">
        <v>1902.66</v>
      </c>
      <c r="T140" s="7">
        <v>602.51</v>
      </c>
      <c r="U140" t="s">
        <v>409</v>
      </c>
      <c r="V140" s="7">
        <v>14460.24</v>
      </c>
      <c r="W140">
        <v>160103</v>
      </c>
      <c r="X140">
        <v>160203</v>
      </c>
      <c r="Y140">
        <v>56021701</v>
      </c>
    </row>
    <row r="141" spans="1:25">
      <c r="A141" t="s">
        <v>416</v>
      </c>
      <c r="B141" t="s">
        <v>400</v>
      </c>
      <c r="C141" t="s">
        <v>417</v>
      </c>
      <c r="D141" t="s">
        <v>418</v>
      </c>
      <c r="E141" t="s">
        <v>28</v>
      </c>
      <c r="F141" t="str">
        <f t="shared" si="2"/>
        <v>030005-四轴吸附式自动锁螺丝机--1</v>
      </c>
      <c r="H141">
        <v>1</v>
      </c>
      <c r="I141" t="s">
        <v>30</v>
      </c>
      <c r="J141" t="s">
        <v>416</v>
      </c>
      <c r="K141" s="5">
        <v>44562</v>
      </c>
      <c r="L141" t="s">
        <v>407</v>
      </c>
      <c r="M141">
        <v>60</v>
      </c>
      <c r="N141">
        <v>1</v>
      </c>
      <c r="O141" t="s">
        <v>419</v>
      </c>
      <c r="P141" s="7">
        <v>27823</v>
      </c>
      <c r="Q141" s="7">
        <v>15859.08</v>
      </c>
      <c r="R141" s="7">
        <v>11963.92</v>
      </c>
      <c r="S141" s="7">
        <v>1391.15</v>
      </c>
      <c r="T141" s="7">
        <v>440.53</v>
      </c>
      <c r="U141" t="s">
        <v>409</v>
      </c>
      <c r="V141" s="7">
        <v>10572.72</v>
      </c>
      <c r="W141">
        <v>160103</v>
      </c>
      <c r="X141">
        <v>160203</v>
      </c>
      <c r="Y141">
        <v>56021701</v>
      </c>
    </row>
    <row r="142" spans="1:25">
      <c r="A142" t="s">
        <v>420</v>
      </c>
      <c r="B142" t="s">
        <v>400</v>
      </c>
      <c r="C142" t="s">
        <v>421</v>
      </c>
      <c r="D142" t="s">
        <v>422</v>
      </c>
      <c r="E142" t="s">
        <v>28</v>
      </c>
      <c r="F142" t="str">
        <f t="shared" si="2"/>
        <v>030006-柔性罗氏线圈绕线机--1</v>
      </c>
      <c r="H142">
        <v>1</v>
      </c>
      <c r="I142" t="s">
        <v>30</v>
      </c>
      <c r="J142" t="s">
        <v>420</v>
      </c>
      <c r="K142" s="5">
        <v>43678</v>
      </c>
      <c r="L142" t="s">
        <v>407</v>
      </c>
      <c r="M142">
        <v>60</v>
      </c>
      <c r="N142">
        <v>1</v>
      </c>
      <c r="O142" t="s">
        <v>423</v>
      </c>
      <c r="P142" s="7">
        <v>19469.03</v>
      </c>
      <c r="Q142" s="7">
        <v>18495.58</v>
      </c>
      <c r="R142" s="7">
        <v>973.45</v>
      </c>
      <c r="S142" s="7">
        <v>973.45</v>
      </c>
      <c r="T142" s="7">
        <v>308.24</v>
      </c>
      <c r="U142" t="s">
        <v>409</v>
      </c>
      <c r="V142" s="7">
        <v>5856.92</v>
      </c>
      <c r="W142">
        <v>160103</v>
      </c>
      <c r="X142">
        <v>160203</v>
      </c>
      <c r="Y142">
        <v>56021701</v>
      </c>
    </row>
    <row r="143" spans="1:25">
      <c r="A143" t="s">
        <v>424</v>
      </c>
      <c r="B143" t="s">
        <v>400</v>
      </c>
      <c r="C143" t="s">
        <v>425</v>
      </c>
      <c r="D143" t="s">
        <v>426</v>
      </c>
      <c r="E143" t="s">
        <v>28</v>
      </c>
      <c r="F143" t="str">
        <f t="shared" si="2"/>
        <v>030007-贴片机（康普特）--1</v>
      </c>
      <c r="H143">
        <v>1</v>
      </c>
      <c r="I143" t="s">
        <v>30</v>
      </c>
      <c r="J143" t="s">
        <v>424</v>
      </c>
      <c r="K143" s="5">
        <v>44652</v>
      </c>
      <c r="L143" t="s">
        <v>407</v>
      </c>
      <c r="M143">
        <v>60</v>
      </c>
      <c r="N143">
        <v>1</v>
      </c>
      <c r="O143" t="s">
        <v>427</v>
      </c>
      <c r="P143" s="7">
        <v>61946.9</v>
      </c>
      <c r="Q143" s="7">
        <v>32367.39</v>
      </c>
      <c r="R143" s="7">
        <v>29579.51</v>
      </c>
      <c r="S143" s="7">
        <v>3097.34</v>
      </c>
      <c r="T143" s="7">
        <v>980.83</v>
      </c>
      <c r="U143" t="s">
        <v>409</v>
      </c>
      <c r="V143" s="7">
        <v>23539.92</v>
      </c>
      <c r="W143">
        <v>160103</v>
      </c>
      <c r="X143">
        <v>160203</v>
      </c>
      <c r="Y143">
        <v>56021701</v>
      </c>
    </row>
    <row r="144" spans="1:25">
      <c r="A144" t="s">
        <v>428</v>
      </c>
      <c r="B144" t="s">
        <v>400</v>
      </c>
      <c r="C144" t="s">
        <v>429</v>
      </c>
      <c r="D144" t="s">
        <v>430</v>
      </c>
      <c r="E144" t="s">
        <v>28</v>
      </c>
      <c r="F144" t="str">
        <f t="shared" si="2"/>
        <v>030008-单相老化车HS-6125--1</v>
      </c>
      <c r="H144">
        <v>1</v>
      </c>
      <c r="I144" t="s">
        <v>30</v>
      </c>
      <c r="J144" t="s">
        <v>428</v>
      </c>
      <c r="K144" s="5">
        <v>44743</v>
      </c>
      <c r="L144" t="s">
        <v>407</v>
      </c>
      <c r="M144">
        <v>60</v>
      </c>
      <c r="N144">
        <v>1</v>
      </c>
      <c r="O144" t="s">
        <v>431</v>
      </c>
      <c r="P144" s="7">
        <v>11061.95</v>
      </c>
      <c r="Q144" s="7">
        <v>5254.5</v>
      </c>
      <c r="R144" s="7">
        <v>5807.45</v>
      </c>
      <c r="S144" s="7">
        <v>553.1</v>
      </c>
      <c r="T144" s="7">
        <v>175.15</v>
      </c>
      <c r="U144" t="s">
        <v>409</v>
      </c>
      <c r="V144" s="7">
        <v>4203.6</v>
      </c>
      <c r="W144">
        <v>160103</v>
      </c>
      <c r="X144">
        <v>160203</v>
      </c>
      <c r="Y144">
        <v>56021701</v>
      </c>
    </row>
    <row r="145" spans="1:25">
      <c r="A145" t="s">
        <v>428</v>
      </c>
      <c r="B145" t="s">
        <v>400</v>
      </c>
      <c r="C145" t="s">
        <v>432</v>
      </c>
      <c r="D145" t="s">
        <v>433</v>
      </c>
      <c r="E145" t="s">
        <v>28</v>
      </c>
      <c r="F145" t="str">
        <f t="shared" si="2"/>
        <v>030009-恒温恒湿试验箱--1</v>
      </c>
      <c r="H145">
        <v>1</v>
      </c>
      <c r="I145" t="s">
        <v>30</v>
      </c>
      <c r="J145" t="s">
        <v>428</v>
      </c>
      <c r="K145" s="5">
        <v>44743</v>
      </c>
      <c r="L145" t="s">
        <v>407</v>
      </c>
      <c r="M145">
        <v>60</v>
      </c>
      <c r="N145">
        <v>1</v>
      </c>
      <c r="O145" t="s">
        <v>431</v>
      </c>
      <c r="P145" s="7">
        <v>11061.95</v>
      </c>
      <c r="Q145" s="7">
        <v>5254.5</v>
      </c>
      <c r="R145" s="7">
        <v>5807.45</v>
      </c>
      <c r="S145" s="7">
        <v>553.1</v>
      </c>
      <c r="T145" s="7">
        <v>175.15</v>
      </c>
      <c r="U145" t="s">
        <v>409</v>
      </c>
      <c r="V145" s="7">
        <v>4203.6</v>
      </c>
      <c r="W145">
        <v>160103</v>
      </c>
      <c r="X145">
        <v>160203</v>
      </c>
      <c r="Y145">
        <v>56021701</v>
      </c>
    </row>
    <row r="146" spans="1:25">
      <c r="A146" t="s">
        <v>428</v>
      </c>
      <c r="B146" t="s">
        <v>400</v>
      </c>
      <c r="C146" t="s">
        <v>434</v>
      </c>
      <c r="D146" t="s">
        <v>435</v>
      </c>
      <c r="E146" t="s">
        <v>28</v>
      </c>
      <c r="F146" t="str">
        <f t="shared" si="2"/>
        <v>030010-悬臂梁冲击试验机--1</v>
      </c>
      <c r="H146">
        <v>1</v>
      </c>
      <c r="I146" t="s">
        <v>30</v>
      </c>
      <c r="J146" t="s">
        <v>428</v>
      </c>
      <c r="K146" s="5">
        <v>44743</v>
      </c>
      <c r="L146" t="s">
        <v>407</v>
      </c>
      <c r="M146">
        <v>60</v>
      </c>
      <c r="N146">
        <v>1</v>
      </c>
      <c r="O146" t="s">
        <v>431</v>
      </c>
      <c r="P146" s="7">
        <v>3982.3</v>
      </c>
      <c r="Q146" s="7">
        <v>1891.5</v>
      </c>
      <c r="R146" s="7">
        <v>2090.8</v>
      </c>
      <c r="S146" s="7">
        <v>199.12</v>
      </c>
      <c r="T146" s="7">
        <v>63.05</v>
      </c>
      <c r="U146" t="s">
        <v>409</v>
      </c>
      <c r="V146" s="7">
        <v>1513.2</v>
      </c>
      <c r="W146">
        <v>160103</v>
      </c>
      <c r="X146">
        <v>160203</v>
      </c>
      <c r="Y146">
        <v>56021701</v>
      </c>
    </row>
    <row r="147" spans="1:25">
      <c r="A147" t="s">
        <v>428</v>
      </c>
      <c r="B147" t="s">
        <v>400</v>
      </c>
      <c r="C147" t="s">
        <v>436</v>
      </c>
      <c r="D147" t="s">
        <v>437</v>
      </c>
      <c r="E147" t="s">
        <v>28</v>
      </c>
      <c r="F147" t="str">
        <f t="shared" si="2"/>
        <v>030011-灼热丝试验机--1</v>
      </c>
      <c r="H147">
        <v>1</v>
      </c>
      <c r="I147" t="s">
        <v>30</v>
      </c>
      <c r="J147" t="s">
        <v>428</v>
      </c>
      <c r="K147" s="5">
        <v>44743</v>
      </c>
      <c r="L147" t="s">
        <v>407</v>
      </c>
      <c r="M147">
        <v>60</v>
      </c>
      <c r="N147">
        <v>1</v>
      </c>
      <c r="O147" t="s">
        <v>431</v>
      </c>
      <c r="P147" s="7">
        <v>4867.25</v>
      </c>
      <c r="Q147" s="7">
        <v>2311.8</v>
      </c>
      <c r="R147" s="7">
        <v>2555.45</v>
      </c>
      <c r="S147" s="7">
        <v>243.36</v>
      </c>
      <c r="T147" s="7">
        <v>77.06</v>
      </c>
      <c r="U147" t="s">
        <v>409</v>
      </c>
      <c r="V147" s="7">
        <v>1849.44</v>
      </c>
      <c r="W147">
        <v>160103</v>
      </c>
      <c r="X147">
        <v>160203</v>
      </c>
      <c r="Y147">
        <v>56021701</v>
      </c>
    </row>
    <row r="148" spans="1:25">
      <c r="A148" t="s">
        <v>438</v>
      </c>
      <c r="B148" t="s">
        <v>400</v>
      </c>
      <c r="C148" t="s">
        <v>439</v>
      </c>
      <c r="D148" t="s">
        <v>440</v>
      </c>
      <c r="E148" t="s">
        <v>28</v>
      </c>
      <c r="F148" t="str">
        <f t="shared" si="2"/>
        <v>030012-电源（费思）--1</v>
      </c>
      <c r="H148">
        <v>1</v>
      </c>
      <c r="I148" t="s">
        <v>30</v>
      </c>
      <c r="J148" t="s">
        <v>438</v>
      </c>
      <c r="K148" t="s">
        <v>441</v>
      </c>
      <c r="L148" t="s">
        <v>407</v>
      </c>
      <c r="M148">
        <v>60</v>
      </c>
      <c r="N148">
        <v>1</v>
      </c>
      <c r="O148" t="s">
        <v>442</v>
      </c>
      <c r="P148" s="7">
        <v>12061.95</v>
      </c>
      <c r="Q148" s="7">
        <v>5538.42</v>
      </c>
      <c r="R148" s="7">
        <v>6523.53</v>
      </c>
      <c r="S148" s="7">
        <v>603.1</v>
      </c>
      <c r="T148" s="7">
        <v>190.98</v>
      </c>
      <c r="U148" t="s">
        <v>409</v>
      </c>
      <c r="V148" s="7">
        <v>4583.52</v>
      </c>
      <c r="W148">
        <v>160103</v>
      </c>
      <c r="X148">
        <v>160203</v>
      </c>
      <c r="Y148">
        <v>56021701</v>
      </c>
    </row>
    <row r="149" spans="1:25">
      <c r="A149" t="s">
        <v>438</v>
      </c>
      <c r="B149" t="s">
        <v>400</v>
      </c>
      <c r="C149" t="s">
        <v>443</v>
      </c>
      <c r="D149" t="s">
        <v>444</v>
      </c>
      <c r="E149" t="s">
        <v>28</v>
      </c>
      <c r="F149" t="str">
        <f t="shared" si="2"/>
        <v>030013-交直流耐压绝缘测试仪--1</v>
      </c>
      <c r="H149">
        <v>1</v>
      </c>
      <c r="I149" t="s">
        <v>30</v>
      </c>
      <c r="J149" t="s">
        <v>438</v>
      </c>
      <c r="K149" t="s">
        <v>441</v>
      </c>
      <c r="L149" t="s">
        <v>407</v>
      </c>
      <c r="M149">
        <v>60</v>
      </c>
      <c r="N149">
        <v>1</v>
      </c>
      <c r="O149" t="s">
        <v>442</v>
      </c>
      <c r="P149" s="7">
        <v>4840.71</v>
      </c>
      <c r="Q149" s="7">
        <v>2222.56</v>
      </c>
      <c r="R149" s="7">
        <v>2618.15</v>
      </c>
      <c r="S149" s="7">
        <v>242.04</v>
      </c>
      <c r="T149" s="7">
        <v>76.64</v>
      </c>
      <c r="U149" t="s">
        <v>409</v>
      </c>
      <c r="V149" s="7">
        <v>1839.36</v>
      </c>
      <c r="W149">
        <v>160103</v>
      </c>
      <c r="X149">
        <v>160203</v>
      </c>
      <c r="Y149">
        <v>56021701</v>
      </c>
    </row>
    <row r="150" spans="1:25">
      <c r="A150" t="s">
        <v>438</v>
      </c>
      <c r="B150" t="s">
        <v>400</v>
      </c>
      <c r="C150" t="s">
        <v>445</v>
      </c>
      <c r="D150" t="s">
        <v>446</v>
      </c>
      <c r="E150" t="s">
        <v>28</v>
      </c>
      <c r="F150" t="str">
        <f t="shared" si="2"/>
        <v>030014-触屏盐雾试验机--1</v>
      </c>
      <c r="H150">
        <v>1</v>
      </c>
      <c r="I150" t="s">
        <v>30</v>
      </c>
      <c r="J150" t="s">
        <v>438</v>
      </c>
      <c r="K150" t="s">
        <v>441</v>
      </c>
      <c r="L150" t="s">
        <v>407</v>
      </c>
      <c r="M150">
        <v>60</v>
      </c>
      <c r="N150">
        <v>1</v>
      </c>
      <c r="O150" t="s">
        <v>442</v>
      </c>
      <c r="P150" s="7">
        <v>2654.87</v>
      </c>
      <c r="Q150" s="7">
        <v>1219.16</v>
      </c>
      <c r="R150" s="7">
        <v>1435.71</v>
      </c>
      <c r="S150" s="7">
        <v>132.74</v>
      </c>
      <c r="T150" s="7">
        <v>42.04</v>
      </c>
      <c r="U150" t="s">
        <v>409</v>
      </c>
      <c r="V150" s="7">
        <v>1008.96</v>
      </c>
      <c r="W150">
        <v>160103</v>
      </c>
      <c r="X150">
        <v>160203</v>
      </c>
      <c r="Y150">
        <v>56021701</v>
      </c>
    </row>
    <row r="151" spans="1:25">
      <c r="A151" t="s">
        <v>438</v>
      </c>
      <c r="B151" t="s">
        <v>400</v>
      </c>
      <c r="C151" t="s">
        <v>447</v>
      </c>
      <c r="D151" t="s">
        <v>448</v>
      </c>
      <c r="E151" t="s">
        <v>28</v>
      </c>
      <c r="F151" t="str">
        <f t="shared" si="2"/>
        <v>030015-三轴电磁振动台--1</v>
      </c>
      <c r="H151">
        <v>1</v>
      </c>
      <c r="I151" t="s">
        <v>30</v>
      </c>
      <c r="J151" t="s">
        <v>438</v>
      </c>
      <c r="K151" t="s">
        <v>441</v>
      </c>
      <c r="L151" t="s">
        <v>407</v>
      </c>
      <c r="M151">
        <v>60</v>
      </c>
      <c r="N151">
        <v>1</v>
      </c>
      <c r="O151" t="s">
        <v>442</v>
      </c>
      <c r="P151" s="7">
        <v>10177</v>
      </c>
      <c r="Q151" s="7">
        <v>4673.06</v>
      </c>
      <c r="R151" s="7">
        <v>5503.94</v>
      </c>
      <c r="S151" s="7">
        <v>508.85</v>
      </c>
      <c r="T151" s="7">
        <v>161.14</v>
      </c>
      <c r="U151" t="s">
        <v>409</v>
      </c>
      <c r="V151" s="7">
        <v>3867.36</v>
      </c>
      <c r="W151">
        <v>160103</v>
      </c>
      <c r="X151">
        <v>160203</v>
      </c>
      <c r="Y151">
        <v>56021701</v>
      </c>
    </row>
    <row r="152" spans="1:25">
      <c r="A152" t="s">
        <v>438</v>
      </c>
      <c r="B152" t="s">
        <v>400</v>
      </c>
      <c r="C152" t="s">
        <v>449</v>
      </c>
      <c r="D152" t="s">
        <v>450</v>
      </c>
      <c r="E152" t="s">
        <v>28</v>
      </c>
      <c r="F152" t="str">
        <f t="shared" si="2"/>
        <v>030016-数字示波器-MS05354-1</v>
      </c>
      <c r="G152" t="s">
        <v>451</v>
      </c>
      <c r="H152">
        <v>1</v>
      </c>
      <c r="I152" t="s">
        <v>30</v>
      </c>
      <c r="J152" t="s">
        <v>438</v>
      </c>
      <c r="K152" t="s">
        <v>441</v>
      </c>
      <c r="L152" t="s">
        <v>407</v>
      </c>
      <c r="M152">
        <v>60</v>
      </c>
      <c r="N152">
        <v>1</v>
      </c>
      <c r="O152" t="s">
        <v>442</v>
      </c>
      <c r="P152" s="7">
        <v>22565.62</v>
      </c>
      <c r="Q152" s="7">
        <v>10361.41</v>
      </c>
      <c r="R152" s="7">
        <v>12204.21</v>
      </c>
      <c r="S152" s="7">
        <v>1128.28</v>
      </c>
      <c r="T152" s="7">
        <v>357.29</v>
      </c>
      <c r="U152" t="s">
        <v>409</v>
      </c>
      <c r="V152" s="7">
        <v>8574.96</v>
      </c>
      <c r="W152">
        <v>160103</v>
      </c>
      <c r="X152">
        <v>160203</v>
      </c>
      <c r="Y152">
        <v>56021701</v>
      </c>
    </row>
    <row r="153" spans="1:25">
      <c r="A153" t="s">
        <v>441</v>
      </c>
      <c r="B153" t="s">
        <v>400</v>
      </c>
      <c r="C153" t="s">
        <v>452</v>
      </c>
      <c r="D153" t="s">
        <v>453</v>
      </c>
      <c r="E153" t="s">
        <v>28</v>
      </c>
      <c r="F153" t="str">
        <f t="shared" si="2"/>
        <v>030017-多功能抗扰度测试仪-EMC S03-W-1</v>
      </c>
      <c r="G153" t="s">
        <v>454</v>
      </c>
      <c r="H153">
        <v>1</v>
      </c>
      <c r="I153" t="s">
        <v>30</v>
      </c>
      <c r="J153" t="s">
        <v>441</v>
      </c>
      <c r="K153" t="s">
        <v>455</v>
      </c>
      <c r="L153" t="s">
        <v>31</v>
      </c>
      <c r="M153">
        <v>120</v>
      </c>
      <c r="N153">
        <v>1</v>
      </c>
      <c r="O153" t="s">
        <v>456</v>
      </c>
      <c r="P153" s="7">
        <v>46017.7</v>
      </c>
      <c r="Q153" s="7">
        <v>10200.68</v>
      </c>
      <c r="R153" s="7">
        <v>35817.02</v>
      </c>
      <c r="S153" s="7">
        <v>2300.88</v>
      </c>
      <c r="T153" s="7">
        <v>364.31</v>
      </c>
      <c r="U153" t="s">
        <v>409</v>
      </c>
      <c r="V153" s="7">
        <v>8743.44</v>
      </c>
      <c r="W153">
        <v>160103</v>
      </c>
      <c r="X153">
        <v>160203</v>
      </c>
      <c r="Y153">
        <v>56021701</v>
      </c>
    </row>
    <row r="154" spans="1:25">
      <c r="A154" t="s">
        <v>441</v>
      </c>
      <c r="B154" t="s">
        <v>400</v>
      </c>
      <c r="C154" t="s">
        <v>457</v>
      </c>
      <c r="D154" t="s">
        <v>458</v>
      </c>
      <c r="E154" t="s">
        <v>28</v>
      </c>
      <c r="F154" t="str">
        <f t="shared" si="2"/>
        <v>030018-光纤激光打标机-WF-IP-30W-1</v>
      </c>
      <c r="G154" t="s">
        <v>459</v>
      </c>
      <c r="H154">
        <v>1</v>
      </c>
      <c r="I154" t="s">
        <v>30</v>
      </c>
      <c r="J154" t="s">
        <v>441</v>
      </c>
      <c r="K154" t="s">
        <v>455</v>
      </c>
      <c r="L154" t="s">
        <v>31</v>
      </c>
      <c r="M154">
        <v>120</v>
      </c>
      <c r="N154">
        <v>1</v>
      </c>
      <c r="O154" t="s">
        <v>456</v>
      </c>
      <c r="P154" s="7">
        <v>9734.51</v>
      </c>
      <c r="Q154" s="7">
        <v>2157.68</v>
      </c>
      <c r="R154" s="7">
        <v>7576.83</v>
      </c>
      <c r="S154" s="7">
        <v>486.73</v>
      </c>
      <c r="T154" s="7">
        <v>77.06</v>
      </c>
      <c r="U154" t="s">
        <v>409</v>
      </c>
      <c r="V154" s="7">
        <v>1849.44</v>
      </c>
      <c r="W154">
        <v>160103</v>
      </c>
      <c r="X154">
        <v>160203</v>
      </c>
      <c r="Y154">
        <v>56021701</v>
      </c>
    </row>
    <row r="155" spans="1:25">
      <c r="A155" t="s">
        <v>455</v>
      </c>
      <c r="B155" t="s">
        <v>400</v>
      </c>
      <c r="C155" t="s">
        <v>460</v>
      </c>
      <c r="D155" t="s">
        <v>461</v>
      </c>
      <c r="E155" t="s">
        <v>28</v>
      </c>
      <c r="F155" t="str">
        <f t="shared" si="2"/>
        <v>030019-办公家具-班台、员工位、财务桌、矮柜、会议桌、书柜、茶水柜、茶几、沙发、椅子-17</v>
      </c>
      <c r="G155" t="s">
        <v>462</v>
      </c>
      <c r="H155">
        <v>17</v>
      </c>
      <c r="I155" t="s">
        <v>463</v>
      </c>
      <c r="J155" t="s">
        <v>455</v>
      </c>
      <c r="K155" s="5">
        <v>44835</v>
      </c>
      <c r="L155" t="s">
        <v>407</v>
      </c>
      <c r="M155">
        <v>60</v>
      </c>
      <c r="N155">
        <v>1</v>
      </c>
      <c r="O155" t="s">
        <v>464</v>
      </c>
      <c r="P155" s="7">
        <v>56378.77</v>
      </c>
      <c r="Q155" s="7">
        <v>24101.82</v>
      </c>
      <c r="R155" s="7">
        <v>32276.95</v>
      </c>
      <c r="S155" s="7">
        <v>2818.94</v>
      </c>
      <c r="T155" s="7">
        <v>892.66</v>
      </c>
      <c r="U155" t="s">
        <v>409</v>
      </c>
      <c r="V155" s="7">
        <v>21423.84</v>
      </c>
      <c r="W155">
        <v>160103</v>
      </c>
      <c r="X155">
        <v>160203</v>
      </c>
      <c r="Y155">
        <v>5602</v>
      </c>
    </row>
    <row r="156" spans="1:25">
      <c r="A156" t="s">
        <v>465</v>
      </c>
      <c r="B156" t="s">
        <v>400</v>
      </c>
      <c r="C156" t="s">
        <v>466</v>
      </c>
      <c r="D156" t="s">
        <v>467</v>
      </c>
      <c r="E156" t="s">
        <v>28</v>
      </c>
      <c r="F156" t="str">
        <f t="shared" si="2"/>
        <v>030020-飞达车--1</v>
      </c>
      <c r="H156">
        <v>1</v>
      </c>
      <c r="I156" t="s">
        <v>30</v>
      </c>
      <c r="J156" t="s">
        <v>465</v>
      </c>
      <c r="K156" t="s">
        <v>424</v>
      </c>
      <c r="L156" t="s">
        <v>407</v>
      </c>
      <c r="M156">
        <v>60</v>
      </c>
      <c r="N156">
        <v>1</v>
      </c>
      <c r="O156" t="s">
        <v>468</v>
      </c>
      <c r="P156" s="7">
        <v>750</v>
      </c>
      <c r="Q156" s="7">
        <v>403.92</v>
      </c>
      <c r="R156" s="7">
        <v>346.08</v>
      </c>
      <c r="S156" s="7">
        <v>37.5</v>
      </c>
      <c r="T156" s="7">
        <v>11.88</v>
      </c>
      <c r="U156" t="s">
        <v>409</v>
      </c>
      <c r="V156" s="7">
        <v>285.12</v>
      </c>
      <c r="W156">
        <v>160103</v>
      </c>
      <c r="X156">
        <v>160203</v>
      </c>
      <c r="Y156">
        <v>56021701</v>
      </c>
    </row>
    <row r="157" spans="1:25">
      <c r="A157" t="s">
        <v>424</v>
      </c>
      <c r="B157" t="s">
        <v>400</v>
      </c>
      <c r="C157" t="s">
        <v>469</v>
      </c>
      <c r="D157" t="s">
        <v>467</v>
      </c>
      <c r="E157" t="s">
        <v>28</v>
      </c>
      <c r="F157" t="str">
        <f t="shared" si="2"/>
        <v>030021-飞达车--1</v>
      </c>
      <c r="H157">
        <v>1</v>
      </c>
      <c r="I157" t="s">
        <v>30</v>
      </c>
      <c r="J157" t="s">
        <v>424</v>
      </c>
      <c r="K157" s="5">
        <v>44652</v>
      </c>
      <c r="L157" t="s">
        <v>407</v>
      </c>
      <c r="M157">
        <v>60</v>
      </c>
      <c r="N157">
        <v>1</v>
      </c>
      <c r="O157" t="s">
        <v>427</v>
      </c>
      <c r="P157" s="7">
        <v>750</v>
      </c>
      <c r="Q157" s="7">
        <v>392.04</v>
      </c>
      <c r="R157" s="7">
        <v>357.96</v>
      </c>
      <c r="S157" s="7">
        <v>37.5</v>
      </c>
      <c r="T157" s="7">
        <v>11.88</v>
      </c>
      <c r="U157" t="s">
        <v>409</v>
      </c>
      <c r="V157" s="7">
        <v>285.12</v>
      </c>
      <c r="W157">
        <v>160103</v>
      </c>
      <c r="X157">
        <v>160203</v>
      </c>
      <c r="Y157">
        <v>56021701</v>
      </c>
    </row>
    <row r="158" spans="1:25">
      <c r="A158" t="s">
        <v>424</v>
      </c>
      <c r="B158" t="s">
        <v>400</v>
      </c>
      <c r="C158" t="s">
        <v>470</v>
      </c>
      <c r="D158" t="s">
        <v>471</v>
      </c>
      <c r="E158" t="s">
        <v>28</v>
      </c>
      <c r="F158" t="str">
        <f t="shared" si="2"/>
        <v>030022-飞达--66</v>
      </c>
      <c r="H158">
        <v>66</v>
      </c>
      <c r="I158" t="s">
        <v>30</v>
      </c>
      <c r="J158" t="s">
        <v>424</v>
      </c>
      <c r="K158" s="5">
        <v>44652</v>
      </c>
      <c r="L158" t="s">
        <v>407</v>
      </c>
      <c r="M158">
        <v>60</v>
      </c>
      <c r="N158">
        <v>1</v>
      </c>
      <c r="O158" t="s">
        <v>427</v>
      </c>
      <c r="P158" s="7">
        <v>20477.87</v>
      </c>
      <c r="Q158" s="7">
        <v>10699.59</v>
      </c>
      <c r="R158" s="7">
        <v>9778.28</v>
      </c>
      <c r="S158" s="7">
        <v>1023.89</v>
      </c>
      <c r="T158" s="7">
        <v>324.23</v>
      </c>
      <c r="U158" t="s">
        <v>409</v>
      </c>
      <c r="V158" s="7">
        <v>7781.52</v>
      </c>
      <c r="W158">
        <v>160103</v>
      </c>
      <c r="X158">
        <v>160203</v>
      </c>
      <c r="Y158">
        <v>56021701</v>
      </c>
    </row>
    <row r="159" spans="1:25">
      <c r="A159" t="s">
        <v>428</v>
      </c>
      <c r="B159" t="s">
        <v>400</v>
      </c>
      <c r="C159" t="s">
        <v>472</v>
      </c>
      <c r="D159" t="s">
        <v>473</v>
      </c>
      <c r="E159" t="s">
        <v>28</v>
      </c>
      <c r="F159" t="str">
        <f t="shared" si="2"/>
        <v>030023-数字示波器/高压探头-DS1102Z-E-1</v>
      </c>
      <c r="G159" t="s">
        <v>474</v>
      </c>
      <c r="H159">
        <v>1</v>
      </c>
      <c r="I159" t="s">
        <v>30</v>
      </c>
      <c r="J159" t="s">
        <v>428</v>
      </c>
      <c r="K159" t="s">
        <v>438</v>
      </c>
      <c r="L159" t="s">
        <v>407</v>
      </c>
      <c r="M159">
        <v>60</v>
      </c>
      <c r="N159">
        <v>1</v>
      </c>
      <c r="O159" t="s">
        <v>431</v>
      </c>
      <c r="P159" s="7">
        <v>1742.48</v>
      </c>
      <c r="Q159" s="7">
        <v>827.7</v>
      </c>
      <c r="R159" s="7">
        <v>914.78</v>
      </c>
      <c r="S159" s="7">
        <v>87.12</v>
      </c>
      <c r="T159" s="7">
        <v>27.59</v>
      </c>
      <c r="U159" t="s">
        <v>409</v>
      </c>
      <c r="V159" s="7">
        <v>662.16</v>
      </c>
      <c r="W159">
        <v>160103</v>
      </c>
      <c r="X159">
        <v>160203</v>
      </c>
      <c r="Y159">
        <v>56021701</v>
      </c>
    </row>
    <row r="160" spans="1:25">
      <c r="A160" t="s">
        <v>438</v>
      </c>
      <c r="B160" t="s">
        <v>400</v>
      </c>
      <c r="C160" t="s">
        <v>475</v>
      </c>
      <c r="D160" t="s">
        <v>476</v>
      </c>
      <c r="E160" t="s">
        <v>28</v>
      </c>
      <c r="F160" t="str">
        <f t="shared" si="2"/>
        <v>030024-办公家具一批-旧-1</v>
      </c>
      <c r="G160" t="s">
        <v>477</v>
      </c>
      <c r="H160">
        <v>1</v>
      </c>
      <c r="I160" t="s">
        <v>463</v>
      </c>
      <c r="J160" t="s">
        <v>438</v>
      </c>
      <c r="K160" s="5">
        <v>44774</v>
      </c>
      <c r="L160" t="s">
        <v>407</v>
      </c>
      <c r="M160">
        <v>60</v>
      </c>
      <c r="N160">
        <v>1</v>
      </c>
      <c r="O160" t="s">
        <v>442</v>
      </c>
      <c r="P160" s="7">
        <v>23860.37</v>
      </c>
      <c r="Q160" s="7">
        <v>10955.91</v>
      </c>
      <c r="R160" s="7">
        <v>12904.46</v>
      </c>
      <c r="S160" s="7">
        <v>1193.02</v>
      </c>
      <c r="T160" s="7">
        <v>377.79</v>
      </c>
      <c r="U160" t="s">
        <v>409</v>
      </c>
      <c r="V160" s="7">
        <v>9066.96</v>
      </c>
      <c r="W160">
        <v>160103</v>
      </c>
      <c r="X160">
        <v>160203</v>
      </c>
      <c r="Y160">
        <v>5602</v>
      </c>
    </row>
    <row r="161" spans="1:25">
      <c r="A161" t="s">
        <v>478</v>
      </c>
      <c r="B161" t="s">
        <v>400</v>
      </c>
      <c r="C161" t="s">
        <v>479</v>
      </c>
      <c r="D161" t="s">
        <v>480</v>
      </c>
      <c r="E161" t="s">
        <v>28</v>
      </c>
      <c r="F161" t="str">
        <f t="shared" si="2"/>
        <v>030025-办公电脑桌--1</v>
      </c>
      <c r="H161">
        <v>1</v>
      </c>
      <c r="I161" t="s">
        <v>463</v>
      </c>
      <c r="J161" t="s">
        <v>478</v>
      </c>
      <c r="K161" t="s">
        <v>481</v>
      </c>
      <c r="L161" t="s">
        <v>407</v>
      </c>
      <c r="M161">
        <v>60</v>
      </c>
      <c r="N161">
        <v>1</v>
      </c>
      <c r="O161" t="s">
        <v>482</v>
      </c>
      <c r="P161" s="7">
        <v>589.4</v>
      </c>
      <c r="Q161" s="7">
        <v>242.58</v>
      </c>
      <c r="R161" s="7">
        <v>346.82</v>
      </c>
      <c r="S161" s="7">
        <v>29.47</v>
      </c>
      <c r="T161" s="7">
        <v>9.33</v>
      </c>
      <c r="U161" t="s">
        <v>409</v>
      </c>
      <c r="V161" s="7">
        <v>223.92</v>
      </c>
      <c r="W161">
        <v>160103</v>
      </c>
      <c r="X161">
        <v>160203</v>
      </c>
      <c r="Y161">
        <v>5602</v>
      </c>
    </row>
    <row r="162" spans="1:25">
      <c r="A162" t="s">
        <v>481</v>
      </c>
      <c r="B162" t="s">
        <v>400</v>
      </c>
      <c r="C162" t="s">
        <v>483</v>
      </c>
      <c r="D162" t="s">
        <v>484</v>
      </c>
      <c r="E162" t="s">
        <v>28</v>
      </c>
      <c r="F162" t="str">
        <f t="shared" si="2"/>
        <v>030026-防静电工作台--2</v>
      </c>
      <c r="H162">
        <v>2</v>
      </c>
      <c r="I162" t="s">
        <v>30</v>
      </c>
      <c r="J162" t="s">
        <v>481</v>
      </c>
      <c r="K162" s="5">
        <v>44896</v>
      </c>
      <c r="L162" t="s">
        <v>407</v>
      </c>
      <c r="M162">
        <v>60</v>
      </c>
      <c r="N162">
        <v>1</v>
      </c>
      <c r="O162" t="s">
        <v>485</v>
      </c>
      <c r="P162" s="7">
        <v>3780</v>
      </c>
      <c r="Q162" s="7">
        <v>1496.25</v>
      </c>
      <c r="R162" s="7">
        <v>2283.75</v>
      </c>
      <c r="S162" s="7">
        <v>189</v>
      </c>
      <c r="T162" s="7">
        <v>59.85</v>
      </c>
      <c r="U162" t="s">
        <v>409</v>
      </c>
      <c r="V162" s="7">
        <v>1436.4</v>
      </c>
      <c r="W162">
        <v>160103</v>
      </c>
      <c r="X162">
        <v>160203</v>
      </c>
      <c r="Y162">
        <v>56021701</v>
      </c>
    </row>
    <row r="163" spans="1:25">
      <c r="A163" t="s">
        <v>481</v>
      </c>
      <c r="B163" t="s">
        <v>400</v>
      </c>
      <c r="C163" t="s">
        <v>486</v>
      </c>
      <c r="D163" t="s">
        <v>487</v>
      </c>
      <c r="E163" t="s">
        <v>28</v>
      </c>
      <c r="F163" t="str">
        <f t="shared" si="2"/>
        <v>030027-办公桌--1</v>
      </c>
      <c r="H163">
        <v>1</v>
      </c>
      <c r="I163" t="s">
        <v>463</v>
      </c>
      <c r="J163" t="s">
        <v>481</v>
      </c>
      <c r="K163" s="5">
        <v>44896</v>
      </c>
      <c r="L163" t="s">
        <v>407</v>
      </c>
      <c r="M163">
        <v>60</v>
      </c>
      <c r="N163">
        <v>1</v>
      </c>
      <c r="O163" t="s">
        <v>485</v>
      </c>
      <c r="P163" s="7">
        <v>1270</v>
      </c>
      <c r="Q163" s="7">
        <v>502.75</v>
      </c>
      <c r="R163" s="7">
        <v>767.25</v>
      </c>
      <c r="S163" s="7">
        <v>63.5</v>
      </c>
      <c r="T163" s="7">
        <v>20.11</v>
      </c>
      <c r="U163" t="s">
        <v>409</v>
      </c>
      <c r="V163" s="7">
        <v>482.64</v>
      </c>
      <c r="W163">
        <v>160103</v>
      </c>
      <c r="X163">
        <v>160203</v>
      </c>
      <c r="Y163">
        <v>5602</v>
      </c>
    </row>
    <row r="164" spans="1:25">
      <c r="A164" t="s">
        <v>478</v>
      </c>
      <c r="B164" t="s">
        <v>400</v>
      </c>
      <c r="C164" t="s">
        <v>488</v>
      </c>
      <c r="D164" t="s">
        <v>489</v>
      </c>
      <c r="E164" t="s">
        <v>28</v>
      </c>
      <c r="F164" t="str">
        <f t="shared" si="2"/>
        <v>030028-可编程直流电子负载--1</v>
      </c>
      <c r="H164">
        <v>1</v>
      </c>
      <c r="I164" t="s">
        <v>30</v>
      </c>
      <c r="J164" t="s">
        <v>478</v>
      </c>
      <c r="K164" t="s">
        <v>481</v>
      </c>
      <c r="L164" t="s">
        <v>407</v>
      </c>
      <c r="M164">
        <v>60</v>
      </c>
      <c r="N164">
        <v>1</v>
      </c>
      <c r="O164" t="s">
        <v>482</v>
      </c>
      <c r="P164" s="7">
        <v>2230.09</v>
      </c>
      <c r="Q164" s="7">
        <v>918.06</v>
      </c>
      <c r="R164" s="7">
        <v>1312.03</v>
      </c>
      <c r="S164" s="7">
        <v>111.5</v>
      </c>
      <c r="T164" s="7">
        <v>35.31</v>
      </c>
      <c r="U164" t="s">
        <v>409</v>
      </c>
      <c r="V164" s="7">
        <v>847.44</v>
      </c>
      <c r="W164">
        <v>160103</v>
      </c>
      <c r="X164">
        <v>160203</v>
      </c>
      <c r="Y164">
        <v>56021701</v>
      </c>
    </row>
    <row r="165" spans="1:25">
      <c r="A165" t="s">
        <v>481</v>
      </c>
      <c r="B165" t="s">
        <v>400</v>
      </c>
      <c r="C165" t="s">
        <v>490</v>
      </c>
      <c r="D165" t="s">
        <v>484</v>
      </c>
      <c r="E165" t="s">
        <v>28</v>
      </c>
      <c r="F165" t="str">
        <f t="shared" si="2"/>
        <v>030029-防静电工作台--2</v>
      </c>
      <c r="H165">
        <v>2</v>
      </c>
      <c r="I165" t="s">
        <v>30</v>
      </c>
      <c r="J165" t="s">
        <v>481</v>
      </c>
      <c r="K165" s="5">
        <v>44896</v>
      </c>
      <c r="L165" t="s">
        <v>407</v>
      </c>
      <c r="M165">
        <v>60</v>
      </c>
      <c r="N165">
        <v>1</v>
      </c>
      <c r="O165" t="s">
        <v>485</v>
      </c>
      <c r="P165" s="7">
        <v>1380</v>
      </c>
      <c r="Q165" s="7">
        <v>546.25</v>
      </c>
      <c r="R165" s="7">
        <v>833.75</v>
      </c>
      <c r="S165" s="7">
        <v>69</v>
      </c>
      <c r="T165" s="7">
        <v>21.85</v>
      </c>
      <c r="U165" t="s">
        <v>409</v>
      </c>
      <c r="V165" s="7">
        <v>524.4</v>
      </c>
      <c r="W165">
        <v>160103</v>
      </c>
      <c r="X165">
        <v>160203</v>
      </c>
      <c r="Y165">
        <v>56021701</v>
      </c>
    </row>
    <row r="166" spans="1:25">
      <c r="A166" t="s">
        <v>491</v>
      </c>
      <c r="B166" t="s">
        <v>400</v>
      </c>
      <c r="C166" t="s">
        <v>492</v>
      </c>
      <c r="D166" t="s">
        <v>493</v>
      </c>
      <c r="E166" t="s">
        <v>28</v>
      </c>
      <c r="F166" t="str">
        <f t="shared" si="2"/>
        <v>030030-普源数字示波器--1</v>
      </c>
      <c r="H166">
        <v>1</v>
      </c>
      <c r="I166" t="s">
        <v>30</v>
      </c>
      <c r="J166" t="s">
        <v>491</v>
      </c>
      <c r="K166" s="5">
        <v>44927</v>
      </c>
      <c r="L166" t="s">
        <v>407</v>
      </c>
      <c r="M166">
        <v>60</v>
      </c>
      <c r="N166">
        <v>1</v>
      </c>
      <c r="O166" t="s">
        <v>494</v>
      </c>
      <c r="P166" s="7">
        <v>2892</v>
      </c>
      <c r="Q166" s="7">
        <v>1098.96</v>
      </c>
      <c r="R166" s="7">
        <v>1793.04</v>
      </c>
      <c r="S166" s="7">
        <v>144.6</v>
      </c>
      <c r="T166" s="7">
        <v>45.79</v>
      </c>
      <c r="U166" t="s">
        <v>409</v>
      </c>
      <c r="V166" s="7">
        <v>1098.96</v>
      </c>
      <c r="W166">
        <v>160103</v>
      </c>
      <c r="X166">
        <v>160203</v>
      </c>
      <c r="Y166">
        <v>56021701</v>
      </c>
    </row>
    <row r="167" spans="1:25">
      <c r="A167" t="s">
        <v>491</v>
      </c>
      <c r="B167" t="s">
        <v>400</v>
      </c>
      <c r="C167" t="s">
        <v>495</v>
      </c>
      <c r="D167" t="s">
        <v>496</v>
      </c>
      <c r="E167" t="s">
        <v>28</v>
      </c>
      <c r="F167" t="str">
        <f t="shared" si="2"/>
        <v>030031-金属工作台--1</v>
      </c>
      <c r="H167">
        <v>1</v>
      </c>
      <c r="I167" t="s">
        <v>30</v>
      </c>
      <c r="J167" t="s">
        <v>491</v>
      </c>
      <c r="K167" s="5">
        <v>44927</v>
      </c>
      <c r="L167" t="s">
        <v>407</v>
      </c>
      <c r="M167">
        <v>60</v>
      </c>
      <c r="N167">
        <v>1</v>
      </c>
      <c r="O167" t="s">
        <v>494</v>
      </c>
      <c r="P167" s="7">
        <v>690</v>
      </c>
      <c r="Q167" s="7">
        <v>262.32</v>
      </c>
      <c r="R167" s="7">
        <v>427.68</v>
      </c>
      <c r="S167" s="7">
        <v>34.5</v>
      </c>
      <c r="T167" s="7">
        <v>10.93</v>
      </c>
      <c r="U167" t="s">
        <v>409</v>
      </c>
      <c r="V167" s="7">
        <v>262.32</v>
      </c>
      <c r="W167">
        <v>160103</v>
      </c>
      <c r="X167">
        <v>160203</v>
      </c>
      <c r="Y167">
        <v>56021701</v>
      </c>
    </row>
    <row r="168" spans="1:25">
      <c r="A168" t="s">
        <v>497</v>
      </c>
      <c r="B168" t="s">
        <v>400</v>
      </c>
      <c r="C168" t="s">
        <v>498</v>
      </c>
      <c r="D168" t="s">
        <v>499</v>
      </c>
      <c r="E168" t="s">
        <v>28</v>
      </c>
      <c r="F168" t="str">
        <f t="shared" si="2"/>
        <v>030033-KEPCO单相电能表透明窗模具--1</v>
      </c>
      <c r="H168">
        <v>1</v>
      </c>
      <c r="I168" t="s">
        <v>30</v>
      </c>
      <c r="J168" t="s">
        <v>497</v>
      </c>
      <c r="K168" s="5">
        <v>44958</v>
      </c>
      <c r="L168" t="s">
        <v>407</v>
      </c>
      <c r="M168">
        <v>60</v>
      </c>
      <c r="N168">
        <v>1</v>
      </c>
      <c r="O168" t="s">
        <v>500</v>
      </c>
      <c r="P168" s="7">
        <v>12389.38</v>
      </c>
      <c r="Q168" s="7">
        <v>4511.91</v>
      </c>
      <c r="R168" s="7">
        <v>7877.47</v>
      </c>
      <c r="S168" s="7">
        <v>619.47</v>
      </c>
      <c r="T168" s="7">
        <v>196.17</v>
      </c>
      <c r="U168" t="s">
        <v>497</v>
      </c>
      <c r="V168" s="7">
        <v>4511.91</v>
      </c>
      <c r="W168">
        <v>160103</v>
      </c>
      <c r="X168">
        <v>160203</v>
      </c>
      <c r="Y168">
        <v>56021701</v>
      </c>
    </row>
    <row r="169" spans="1:25">
      <c r="A169" t="s">
        <v>497</v>
      </c>
      <c r="B169" t="s">
        <v>400</v>
      </c>
      <c r="C169" t="s">
        <v>501</v>
      </c>
      <c r="D169" t="s">
        <v>502</v>
      </c>
      <c r="E169" t="s">
        <v>28</v>
      </c>
      <c r="F169" t="str">
        <f t="shared" si="2"/>
        <v>030034-KEPCO单相电能表按钮护盖模具--1</v>
      </c>
      <c r="H169">
        <v>1</v>
      </c>
      <c r="I169" t="s">
        <v>30</v>
      </c>
      <c r="J169" t="s">
        <v>497</v>
      </c>
      <c r="K169" s="5">
        <v>44958</v>
      </c>
      <c r="L169" t="s">
        <v>407</v>
      </c>
      <c r="M169">
        <v>60</v>
      </c>
      <c r="N169">
        <v>1</v>
      </c>
      <c r="O169" t="s">
        <v>500</v>
      </c>
      <c r="P169" s="7">
        <v>20353.98</v>
      </c>
      <c r="Q169" s="7">
        <v>7412.21</v>
      </c>
      <c r="R169" s="7">
        <v>12941.77</v>
      </c>
      <c r="S169" s="7">
        <v>1017.7</v>
      </c>
      <c r="T169" s="7">
        <v>322.27</v>
      </c>
      <c r="U169" t="s">
        <v>497</v>
      </c>
      <c r="V169" s="7">
        <v>7412.21</v>
      </c>
      <c r="W169">
        <v>160103</v>
      </c>
      <c r="X169">
        <v>160203</v>
      </c>
      <c r="Y169">
        <v>56021701</v>
      </c>
    </row>
    <row r="170" spans="1:25">
      <c r="A170" t="s">
        <v>497</v>
      </c>
      <c r="B170" t="s">
        <v>400</v>
      </c>
      <c r="C170" t="s">
        <v>503</v>
      </c>
      <c r="D170" t="s">
        <v>504</v>
      </c>
      <c r="E170" t="s">
        <v>28</v>
      </c>
      <c r="F170" t="str">
        <f t="shared" si="2"/>
        <v>030035-KEPCP单相电能表底壳后盖模具--1</v>
      </c>
      <c r="H170">
        <v>1</v>
      </c>
      <c r="I170" t="s">
        <v>30</v>
      </c>
      <c r="J170" t="s">
        <v>497</v>
      </c>
      <c r="K170" s="5">
        <v>44958</v>
      </c>
      <c r="L170" t="s">
        <v>407</v>
      </c>
      <c r="M170">
        <v>60</v>
      </c>
      <c r="N170">
        <v>1</v>
      </c>
      <c r="O170" t="s">
        <v>500</v>
      </c>
      <c r="P170" s="7">
        <v>10619.47</v>
      </c>
      <c r="Q170" s="7">
        <v>3867.22</v>
      </c>
      <c r="R170" s="7">
        <v>6752.25</v>
      </c>
      <c r="S170" s="7">
        <v>530.97</v>
      </c>
      <c r="T170" s="7">
        <v>168.14</v>
      </c>
      <c r="U170" t="s">
        <v>497</v>
      </c>
      <c r="V170" s="7">
        <v>3867.22</v>
      </c>
      <c r="W170">
        <v>160103</v>
      </c>
      <c r="X170">
        <v>160203</v>
      </c>
      <c r="Y170">
        <v>56021701</v>
      </c>
    </row>
    <row r="171" spans="1:25">
      <c r="A171" t="s">
        <v>497</v>
      </c>
      <c r="B171" t="s">
        <v>400</v>
      </c>
      <c r="C171" t="s">
        <v>505</v>
      </c>
      <c r="D171" t="s">
        <v>506</v>
      </c>
      <c r="E171" t="s">
        <v>28</v>
      </c>
      <c r="F171" t="str">
        <f t="shared" si="2"/>
        <v>030036-KEPCO单相电能表底壳模具--1</v>
      </c>
      <c r="H171">
        <v>1</v>
      </c>
      <c r="I171" t="s">
        <v>30</v>
      </c>
      <c r="J171" t="s">
        <v>497</v>
      </c>
      <c r="K171" s="5">
        <v>44958</v>
      </c>
      <c r="L171" t="s">
        <v>407</v>
      </c>
      <c r="M171">
        <v>60</v>
      </c>
      <c r="N171">
        <v>1</v>
      </c>
      <c r="O171" t="s">
        <v>500</v>
      </c>
      <c r="P171" s="7">
        <v>47787.61</v>
      </c>
      <c r="Q171" s="7">
        <v>17402.72</v>
      </c>
      <c r="R171" s="7">
        <v>30384.89</v>
      </c>
      <c r="S171" s="7">
        <v>2389.38</v>
      </c>
      <c r="T171" s="7">
        <v>756.64</v>
      </c>
      <c r="U171" t="s">
        <v>497</v>
      </c>
      <c r="V171" s="7">
        <v>17402.72</v>
      </c>
      <c r="W171">
        <v>160103</v>
      </c>
      <c r="X171">
        <v>160203</v>
      </c>
      <c r="Y171">
        <v>56021701</v>
      </c>
    </row>
    <row r="172" spans="1:25">
      <c r="A172" t="s">
        <v>497</v>
      </c>
      <c r="B172" t="s">
        <v>400</v>
      </c>
      <c r="C172" t="s">
        <v>507</v>
      </c>
      <c r="D172" t="s">
        <v>508</v>
      </c>
      <c r="E172" t="s">
        <v>28</v>
      </c>
      <c r="F172" t="str">
        <f t="shared" si="2"/>
        <v>030037-KEPCO单相电能面面壳模具--1</v>
      </c>
      <c r="H172">
        <v>1</v>
      </c>
      <c r="I172" t="s">
        <v>30</v>
      </c>
      <c r="J172" t="s">
        <v>497</v>
      </c>
      <c r="K172" s="5">
        <v>44958</v>
      </c>
      <c r="L172" t="s">
        <v>407</v>
      </c>
      <c r="M172">
        <v>60</v>
      </c>
      <c r="N172">
        <v>1</v>
      </c>
      <c r="O172" t="s">
        <v>500</v>
      </c>
      <c r="P172" s="7">
        <v>47787.61</v>
      </c>
      <c r="Q172" s="7">
        <v>17402.72</v>
      </c>
      <c r="R172" s="7">
        <v>30384.89</v>
      </c>
      <c r="S172" s="7">
        <v>2389.38</v>
      </c>
      <c r="T172" s="7">
        <v>756.64</v>
      </c>
      <c r="U172" t="s">
        <v>497</v>
      </c>
      <c r="V172" s="7">
        <v>17402.72</v>
      </c>
      <c r="W172">
        <v>160103</v>
      </c>
      <c r="X172">
        <v>160203</v>
      </c>
      <c r="Y172">
        <v>56021701</v>
      </c>
    </row>
    <row r="173" spans="1:25">
      <c r="A173" t="s">
        <v>497</v>
      </c>
      <c r="B173" t="s">
        <v>400</v>
      </c>
      <c r="C173" t="s">
        <v>509</v>
      </c>
      <c r="D173" t="s">
        <v>510</v>
      </c>
      <c r="E173" t="s">
        <v>28</v>
      </c>
      <c r="F173" t="str">
        <f t="shared" si="2"/>
        <v>030038-遮阳罩、端钮盖二合一简易模具--1</v>
      </c>
      <c r="H173">
        <v>1</v>
      </c>
      <c r="I173" t="s">
        <v>30</v>
      </c>
      <c r="J173" t="s">
        <v>497</v>
      </c>
      <c r="K173" s="5">
        <v>44958</v>
      </c>
      <c r="L173" t="s">
        <v>407</v>
      </c>
      <c r="M173">
        <v>60</v>
      </c>
      <c r="N173">
        <v>1</v>
      </c>
      <c r="O173" t="s">
        <v>500</v>
      </c>
      <c r="P173" s="7">
        <v>14734.51</v>
      </c>
      <c r="Q173" s="7">
        <v>5365.9</v>
      </c>
      <c r="R173" s="7">
        <v>9368.61</v>
      </c>
      <c r="S173" s="7">
        <v>736.73</v>
      </c>
      <c r="T173" s="7">
        <v>233.3</v>
      </c>
      <c r="U173" t="s">
        <v>497</v>
      </c>
      <c r="V173" s="7">
        <v>5365.9</v>
      </c>
      <c r="W173">
        <v>160103</v>
      </c>
      <c r="X173">
        <v>160203</v>
      </c>
      <c r="Y173">
        <v>56021701</v>
      </c>
    </row>
    <row r="174" spans="1:25">
      <c r="A174" t="s">
        <v>33</v>
      </c>
      <c r="B174" t="s">
        <v>400</v>
      </c>
      <c r="C174" t="s">
        <v>511</v>
      </c>
      <c r="D174" t="s">
        <v>512</v>
      </c>
      <c r="E174" t="s">
        <v>28</v>
      </c>
      <c r="F174" t="str">
        <f t="shared" si="2"/>
        <v>030044-空调及风机安装工程--1</v>
      </c>
      <c r="H174">
        <v>1</v>
      </c>
      <c r="I174" t="s">
        <v>36</v>
      </c>
      <c r="J174" t="s">
        <v>33</v>
      </c>
      <c r="K174" s="5">
        <v>45139</v>
      </c>
      <c r="L174" t="s">
        <v>407</v>
      </c>
      <c r="M174">
        <v>60</v>
      </c>
      <c r="N174">
        <v>1</v>
      </c>
      <c r="O174" t="s">
        <v>37</v>
      </c>
      <c r="P174" s="7">
        <v>133027.52</v>
      </c>
      <c r="Q174" s="7">
        <v>33921.97</v>
      </c>
      <c r="R174" s="7">
        <v>99105.55</v>
      </c>
      <c r="S174" s="7">
        <v>13302.75</v>
      </c>
      <c r="T174" s="7">
        <v>1995.41</v>
      </c>
      <c r="U174" t="s">
        <v>33</v>
      </c>
      <c r="V174" s="7">
        <v>33921.97</v>
      </c>
      <c r="W174">
        <v>160103</v>
      </c>
      <c r="X174">
        <v>160203</v>
      </c>
      <c r="Y174">
        <v>410102</v>
      </c>
    </row>
    <row r="175" spans="1:25">
      <c r="A175" t="s">
        <v>33</v>
      </c>
      <c r="B175" t="s">
        <v>400</v>
      </c>
      <c r="C175" t="s">
        <v>513</v>
      </c>
      <c r="D175" t="s">
        <v>514</v>
      </c>
      <c r="E175" t="s">
        <v>28</v>
      </c>
      <c r="F175" t="str">
        <f t="shared" si="2"/>
        <v>030045-设备款（电梯）--1</v>
      </c>
      <c r="H175">
        <v>1</v>
      </c>
      <c r="I175" t="s">
        <v>36</v>
      </c>
      <c r="J175" t="s">
        <v>33</v>
      </c>
      <c r="K175" s="5">
        <v>45139</v>
      </c>
      <c r="L175" t="s">
        <v>407</v>
      </c>
      <c r="M175">
        <v>60</v>
      </c>
      <c r="N175">
        <v>1</v>
      </c>
      <c r="O175" t="s">
        <v>37</v>
      </c>
      <c r="P175" s="7">
        <v>141150.45</v>
      </c>
      <c r="Q175" s="7">
        <v>35993.42</v>
      </c>
      <c r="R175" s="7">
        <v>105157.03</v>
      </c>
      <c r="S175" s="7">
        <v>14115.05</v>
      </c>
      <c r="T175" s="7">
        <v>2117.26</v>
      </c>
      <c r="U175" t="s">
        <v>33</v>
      </c>
      <c r="V175" s="7">
        <v>35993.42</v>
      </c>
      <c r="W175">
        <v>160103</v>
      </c>
      <c r="X175">
        <v>160203</v>
      </c>
      <c r="Y175">
        <v>410102</v>
      </c>
    </row>
    <row r="176" spans="1:25">
      <c r="A176" t="s">
        <v>33</v>
      </c>
      <c r="B176" t="s">
        <v>400</v>
      </c>
      <c r="C176" t="s">
        <v>515</v>
      </c>
      <c r="D176" t="s">
        <v>516</v>
      </c>
      <c r="E176" t="s">
        <v>28</v>
      </c>
      <c r="F176" t="str">
        <f t="shared" si="2"/>
        <v>030046-家具--1</v>
      </c>
      <c r="H176">
        <v>1</v>
      </c>
      <c r="I176" t="s">
        <v>463</v>
      </c>
      <c r="J176" t="s">
        <v>33</v>
      </c>
      <c r="K176" s="5">
        <v>45139</v>
      </c>
      <c r="L176" t="s">
        <v>407</v>
      </c>
      <c r="M176">
        <v>60</v>
      </c>
      <c r="N176">
        <v>1</v>
      </c>
      <c r="O176" t="s">
        <v>37</v>
      </c>
      <c r="P176" s="7">
        <v>93344.25</v>
      </c>
      <c r="Q176" s="7">
        <v>23802.72</v>
      </c>
      <c r="R176" s="7">
        <v>69541.53</v>
      </c>
      <c r="S176" s="7">
        <v>9334.43</v>
      </c>
      <c r="T176" s="7">
        <v>1400.16</v>
      </c>
      <c r="U176" t="s">
        <v>33</v>
      </c>
      <c r="V176" s="7">
        <v>23802.72</v>
      </c>
      <c r="W176">
        <v>160103</v>
      </c>
      <c r="X176">
        <v>160203</v>
      </c>
      <c r="Y176">
        <v>5602</v>
      </c>
    </row>
    <row r="177" spans="1:25">
      <c r="A177" t="s">
        <v>33</v>
      </c>
      <c r="B177" t="s">
        <v>400</v>
      </c>
      <c r="C177" t="s">
        <v>517</v>
      </c>
      <c r="D177" t="s">
        <v>516</v>
      </c>
      <c r="E177" t="s">
        <v>28</v>
      </c>
      <c r="F177" t="str">
        <f t="shared" si="2"/>
        <v>030047-家具--1</v>
      </c>
      <c r="H177">
        <v>1</v>
      </c>
      <c r="I177" t="s">
        <v>463</v>
      </c>
      <c r="J177" t="s">
        <v>33</v>
      </c>
      <c r="K177" s="5">
        <v>45139</v>
      </c>
      <c r="L177" t="s">
        <v>407</v>
      </c>
      <c r="M177">
        <v>60</v>
      </c>
      <c r="N177">
        <v>1</v>
      </c>
      <c r="O177" t="s">
        <v>37</v>
      </c>
      <c r="P177" s="7">
        <v>88495.58</v>
      </c>
      <c r="Q177" s="7">
        <v>22566.31</v>
      </c>
      <c r="R177" s="7">
        <v>65929.27</v>
      </c>
      <c r="S177" s="7">
        <v>8849.56</v>
      </c>
      <c r="T177" s="7">
        <v>1327.43</v>
      </c>
      <c r="U177" t="s">
        <v>33</v>
      </c>
      <c r="V177" s="7">
        <v>22566.31</v>
      </c>
      <c r="W177">
        <v>160103</v>
      </c>
      <c r="X177">
        <v>160203</v>
      </c>
      <c r="Y177">
        <v>5602</v>
      </c>
    </row>
    <row r="178" spans="1:25">
      <c r="A178" t="s">
        <v>33</v>
      </c>
      <c r="B178" t="s">
        <v>400</v>
      </c>
      <c r="C178" t="s">
        <v>518</v>
      </c>
      <c r="D178" t="s">
        <v>519</v>
      </c>
      <c r="E178" t="s">
        <v>28</v>
      </c>
      <c r="F178" t="str">
        <f t="shared" si="2"/>
        <v>030048-洗衣机--1</v>
      </c>
      <c r="H178">
        <v>1</v>
      </c>
      <c r="I178" t="s">
        <v>463</v>
      </c>
      <c r="J178" t="s">
        <v>33</v>
      </c>
      <c r="K178" s="5">
        <v>45139</v>
      </c>
      <c r="L178" t="s">
        <v>407</v>
      </c>
      <c r="M178">
        <v>60</v>
      </c>
      <c r="N178">
        <v>1</v>
      </c>
      <c r="O178" t="s">
        <v>37</v>
      </c>
      <c r="P178" s="7">
        <v>13274.34</v>
      </c>
      <c r="Q178" s="7">
        <v>3385.04</v>
      </c>
      <c r="R178" s="7">
        <v>9889.3</v>
      </c>
      <c r="S178" s="7">
        <v>1327.43</v>
      </c>
      <c r="T178" s="7">
        <v>199.12</v>
      </c>
      <c r="U178" t="s">
        <v>33</v>
      </c>
      <c r="V178" s="7">
        <v>3385.04</v>
      </c>
      <c r="W178">
        <v>160103</v>
      </c>
      <c r="X178">
        <v>160203</v>
      </c>
      <c r="Y178">
        <v>5602</v>
      </c>
    </row>
    <row r="179" spans="1:25">
      <c r="A179" t="s">
        <v>33</v>
      </c>
      <c r="B179" t="s">
        <v>400</v>
      </c>
      <c r="C179" t="s">
        <v>520</v>
      </c>
      <c r="D179" t="s">
        <v>521</v>
      </c>
      <c r="E179" t="s">
        <v>28</v>
      </c>
      <c r="F179" t="str">
        <f t="shared" si="2"/>
        <v>030049-空调--1</v>
      </c>
      <c r="H179">
        <v>1</v>
      </c>
      <c r="I179" t="s">
        <v>463</v>
      </c>
      <c r="J179" t="s">
        <v>33</v>
      </c>
      <c r="K179" s="5">
        <v>45139</v>
      </c>
      <c r="L179" t="s">
        <v>407</v>
      </c>
      <c r="M179">
        <v>60</v>
      </c>
      <c r="N179">
        <v>1</v>
      </c>
      <c r="O179" t="s">
        <v>37</v>
      </c>
      <c r="P179" s="7">
        <v>43964.6</v>
      </c>
      <c r="Q179" s="7">
        <v>11833.87</v>
      </c>
      <c r="R179" s="7">
        <v>32130.73</v>
      </c>
      <c r="S179" s="7">
        <v>2198.23</v>
      </c>
      <c r="T179" s="7">
        <v>696.11</v>
      </c>
      <c r="U179" t="s">
        <v>33</v>
      </c>
      <c r="V179" s="7">
        <v>11833.87</v>
      </c>
      <c r="W179">
        <v>160103</v>
      </c>
      <c r="X179">
        <v>160203</v>
      </c>
      <c r="Y179">
        <v>5602</v>
      </c>
    </row>
    <row r="180" spans="1:25">
      <c r="A180" t="s">
        <v>56</v>
      </c>
      <c r="B180" t="s">
        <v>400</v>
      </c>
      <c r="C180" t="s">
        <v>522</v>
      </c>
      <c r="D180" t="s">
        <v>523</v>
      </c>
      <c r="E180" t="s">
        <v>28</v>
      </c>
      <c r="F180" t="str">
        <f t="shared" si="2"/>
        <v>030064-大金中央空调--1</v>
      </c>
      <c r="H180">
        <v>1</v>
      </c>
      <c r="I180" t="s">
        <v>463</v>
      </c>
      <c r="J180" t="s">
        <v>56</v>
      </c>
      <c r="K180" s="5">
        <v>45231</v>
      </c>
      <c r="L180" t="s">
        <v>407</v>
      </c>
      <c r="M180">
        <v>60</v>
      </c>
      <c r="N180">
        <v>1</v>
      </c>
      <c r="O180" t="s">
        <v>59</v>
      </c>
      <c r="P180" s="7">
        <v>81415.93</v>
      </c>
      <c r="Q180" s="7">
        <v>17097.36</v>
      </c>
      <c r="R180" s="7">
        <v>64318.57</v>
      </c>
      <c r="S180" s="7">
        <v>8141.59</v>
      </c>
      <c r="T180" s="7">
        <v>1221.24</v>
      </c>
      <c r="U180" t="s">
        <v>56</v>
      </c>
      <c r="V180" s="7">
        <v>17097.36</v>
      </c>
      <c r="W180">
        <v>160103</v>
      </c>
      <c r="X180">
        <v>160203</v>
      </c>
      <c r="Y180">
        <v>5602</v>
      </c>
    </row>
    <row r="181" spans="1:25">
      <c r="A181" t="s">
        <v>120</v>
      </c>
      <c r="B181" t="s">
        <v>400</v>
      </c>
      <c r="C181" t="s">
        <v>524</v>
      </c>
      <c r="D181" t="s">
        <v>525</v>
      </c>
      <c r="E181" t="s">
        <v>28</v>
      </c>
      <c r="F181" t="str">
        <f t="shared" si="2"/>
        <v>030089-美的空调-120QW-2</v>
      </c>
      <c r="G181" t="s">
        <v>526</v>
      </c>
      <c r="H181">
        <v>2</v>
      </c>
      <c r="I181" t="s">
        <v>36</v>
      </c>
      <c r="J181" t="s">
        <v>120</v>
      </c>
      <c r="K181" s="5">
        <v>45474</v>
      </c>
      <c r="L181" t="s">
        <v>407</v>
      </c>
      <c r="M181">
        <v>60</v>
      </c>
      <c r="N181">
        <v>1</v>
      </c>
      <c r="O181" t="s">
        <v>123</v>
      </c>
      <c r="P181" s="7">
        <v>22814.16</v>
      </c>
      <c r="Q181" s="7">
        <v>2053.26</v>
      </c>
      <c r="R181" s="7">
        <v>20760.9</v>
      </c>
      <c r="S181" s="7">
        <v>2281.42</v>
      </c>
      <c r="T181" s="7">
        <v>342.21</v>
      </c>
      <c r="U181" t="s">
        <v>120</v>
      </c>
      <c r="V181" s="7">
        <v>2053.26</v>
      </c>
      <c r="W181">
        <v>160103</v>
      </c>
      <c r="X181">
        <v>160203</v>
      </c>
      <c r="Y181">
        <v>410102</v>
      </c>
    </row>
    <row r="182" spans="1:25">
      <c r="A182" t="s">
        <v>465</v>
      </c>
      <c r="B182" t="s">
        <v>527</v>
      </c>
      <c r="C182" t="s">
        <v>528</v>
      </c>
      <c r="D182" t="s">
        <v>529</v>
      </c>
      <c r="E182" t="s">
        <v>28</v>
      </c>
      <c r="F182" t="str">
        <f t="shared" si="2"/>
        <v>040001-起亚MPV--1</v>
      </c>
      <c r="H182">
        <v>1</v>
      </c>
      <c r="I182" t="s">
        <v>530</v>
      </c>
      <c r="J182" t="s">
        <v>465</v>
      </c>
      <c r="K182" s="5">
        <v>44621</v>
      </c>
      <c r="L182" t="s">
        <v>423</v>
      </c>
      <c r="M182">
        <v>48</v>
      </c>
      <c r="N182">
        <v>1</v>
      </c>
      <c r="O182" t="s">
        <v>468</v>
      </c>
      <c r="P182" s="7">
        <v>329618.85</v>
      </c>
      <c r="Q182" s="7">
        <v>221806.14</v>
      </c>
      <c r="R182" s="7">
        <v>107812.71</v>
      </c>
      <c r="S182" s="7">
        <v>16480.94</v>
      </c>
      <c r="T182" s="7">
        <v>6523.71</v>
      </c>
      <c r="U182" t="s">
        <v>409</v>
      </c>
      <c r="V182" s="7">
        <v>156569.04</v>
      </c>
      <c r="W182">
        <v>160104</v>
      </c>
      <c r="X182">
        <v>160204</v>
      </c>
      <c r="Y182">
        <v>5602</v>
      </c>
    </row>
    <row r="183" spans="1:25">
      <c r="A183" t="s">
        <v>76</v>
      </c>
      <c r="B183" t="s">
        <v>531</v>
      </c>
      <c r="C183" t="s">
        <v>532</v>
      </c>
      <c r="D183" t="s">
        <v>533</v>
      </c>
      <c r="E183" t="s">
        <v>28</v>
      </c>
      <c r="F183" t="str">
        <f t="shared" si="2"/>
        <v>020074-联想笔记本--1</v>
      </c>
      <c r="H183">
        <v>1</v>
      </c>
      <c r="I183" t="s">
        <v>36</v>
      </c>
      <c r="J183" t="s">
        <v>76</v>
      </c>
      <c r="K183" s="5">
        <v>45292</v>
      </c>
      <c r="L183" t="s">
        <v>31</v>
      </c>
      <c r="M183">
        <v>120</v>
      </c>
      <c r="N183">
        <v>1</v>
      </c>
      <c r="O183" t="s">
        <v>80</v>
      </c>
      <c r="P183" s="7">
        <v>5238.05</v>
      </c>
      <c r="Q183" s="7">
        <v>471.48</v>
      </c>
      <c r="R183" s="7">
        <v>4766.57</v>
      </c>
      <c r="S183" s="7">
        <v>523.81</v>
      </c>
      <c r="T183" s="7">
        <v>39.29</v>
      </c>
      <c r="U183" t="s">
        <v>76</v>
      </c>
      <c r="V183" s="7">
        <v>471.48</v>
      </c>
      <c r="W183">
        <v>160105</v>
      </c>
      <c r="X183">
        <v>160205</v>
      </c>
      <c r="Y183">
        <v>410102</v>
      </c>
    </row>
    <row r="184" spans="1:25">
      <c r="A184" t="s">
        <v>534</v>
      </c>
      <c r="B184" t="s">
        <v>531</v>
      </c>
      <c r="C184" t="s">
        <v>535</v>
      </c>
      <c r="D184" t="s">
        <v>536</v>
      </c>
      <c r="E184" t="s">
        <v>28</v>
      </c>
      <c r="F184" t="str">
        <f t="shared" si="2"/>
        <v>050001-华为笔记本-工程部--2</v>
      </c>
      <c r="H184">
        <v>2</v>
      </c>
      <c r="I184" t="s">
        <v>30</v>
      </c>
      <c r="J184" t="s">
        <v>534</v>
      </c>
      <c r="K184" s="5">
        <v>44593</v>
      </c>
      <c r="L184" t="s">
        <v>419</v>
      </c>
      <c r="M184">
        <v>36</v>
      </c>
      <c r="N184">
        <v>1</v>
      </c>
      <c r="O184" t="s">
        <v>537</v>
      </c>
      <c r="P184" s="7">
        <v>6298</v>
      </c>
      <c r="Q184" s="7">
        <v>5817</v>
      </c>
      <c r="R184" s="7">
        <v>481</v>
      </c>
      <c r="S184" s="7">
        <v>314.9</v>
      </c>
      <c r="T184" s="7">
        <v>166.2</v>
      </c>
      <c r="U184" t="s">
        <v>409</v>
      </c>
      <c r="V184" s="7">
        <v>3988.8</v>
      </c>
      <c r="W184">
        <v>160105</v>
      </c>
      <c r="X184">
        <v>160205</v>
      </c>
      <c r="Y184">
        <v>56021701</v>
      </c>
    </row>
    <row r="185" spans="1:25">
      <c r="A185" t="s">
        <v>534</v>
      </c>
      <c r="B185" t="s">
        <v>531</v>
      </c>
      <c r="C185" t="s">
        <v>538</v>
      </c>
      <c r="D185" t="s">
        <v>539</v>
      </c>
      <c r="E185" t="s">
        <v>28</v>
      </c>
      <c r="F185" t="str">
        <f t="shared" si="2"/>
        <v>050002-爱普生L617多功能打印机--1</v>
      </c>
      <c r="H185">
        <v>1</v>
      </c>
      <c r="I185" t="s">
        <v>30</v>
      </c>
      <c r="J185" t="s">
        <v>534</v>
      </c>
      <c r="K185" s="5">
        <v>44593</v>
      </c>
      <c r="L185" t="s">
        <v>419</v>
      </c>
      <c r="M185">
        <v>36</v>
      </c>
      <c r="N185">
        <v>1</v>
      </c>
      <c r="O185" t="s">
        <v>537</v>
      </c>
      <c r="P185" s="7">
        <v>2211.5</v>
      </c>
      <c r="Q185" s="7">
        <v>2042.6</v>
      </c>
      <c r="R185" s="7">
        <v>168.9</v>
      </c>
      <c r="S185" s="7">
        <v>110.58</v>
      </c>
      <c r="T185" s="7">
        <v>58.36</v>
      </c>
      <c r="U185" t="s">
        <v>409</v>
      </c>
      <c r="V185" s="7">
        <v>1400.64</v>
      </c>
      <c r="W185">
        <v>160105</v>
      </c>
      <c r="X185">
        <v>160205</v>
      </c>
      <c r="Y185">
        <v>56021701</v>
      </c>
    </row>
    <row r="186" spans="1:25">
      <c r="A186" t="s">
        <v>534</v>
      </c>
      <c r="B186" t="s">
        <v>531</v>
      </c>
      <c r="C186" t="s">
        <v>540</v>
      </c>
      <c r="D186" t="s">
        <v>541</v>
      </c>
      <c r="E186" t="s">
        <v>28</v>
      </c>
      <c r="F186" t="str">
        <f t="shared" si="2"/>
        <v>050003-电脑液晶显示器AG493UCX--1</v>
      </c>
      <c r="H186">
        <v>1</v>
      </c>
      <c r="I186" t="s">
        <v>463</v>
      </c>
      <c r="J186" t="s">
        <v>534</v>
      </c>
      <c r="K186" s="5">
        <v>44593</v>
      </c>
      <c r="L186" t="s">
        <v>419</v>
      </c>
      <c r="M186">
        <v>36</v>
      </c>
      <c r="N186">
        <v>1</v>
      </c>
      <c r="O186" t="s">
        <v>537</v>
      </c>
      <c r="P186" s="7">
        <v>6636.28</v>
      </c>
      <c r="Q186" s="7">
        <v>6129.2</v>
      </c>
      <c r="R186" s="7">
        <v>507.08</v>
      </c>
      <c r="S186" s="7">
        <v>331.81</v>
      </c>
      <c r="T186" s="7">
        <v>175.12</v>
      </c>
      <c r="U186" t="s">
        <v>409</v>
      </c>
      <c r="V186" s="7">
        <v>4202.88</v>
      </c>
      <c r="W186">
        <v>160105</v>
      </c>
      <c r="X186">
        <v>160205</v>
      </c>
      <c r="Y186">
        <v>5602</v>
      </c>
    </row>
    <row r="187" spans="1:25">
      <c r="A187" t="s">
        <v>424</v>
      </c>
      <c r="B187" t="s">
        <v>531</v>
      </c>
      <c r="C187" t="s">
        <v>542</v>
      </c>
      <c r="D187" t="s">
        <v>543</v>
      </c>
      <c r="E187" t="s">
        <v>28</v>
      </c>
      <c r="F187" t="str">
        <f t="shared" si="2"/>
        <v>050004-台式电脑--1</v>
      </c>
      <c r="H187">
        <v>1</v>
      </c>
      <c r="I187" t="s">
        <v>463</v>
      </c>
      <c r="J187" t="s">
        <v>424</v>
      </c>
      <c r="K187" s="5">
        <v>44652</v>
      </c>
      <c r="L187" t="s">
        <v>419</v>
      </c>
      <c r="M187">
        <v>36</v>
      </c>
      <c r="N187">
        <v>1</v>
      </c>
      <c r="O187" t="s">
        <v>427</v>
      </c>
      <c r="P187" s="7">
        <v>2906.2</v>
      </c>
      <c r="Q187" s="7">
        <v>2530.77</v>
      </c>
      <c r="R187" s="7">
        <v>375.43</v>
      </c>
      <c r="S187" s="7">
        <v>145.31</v>
      </c>
      <c r="T187" s="7">
        <v>76.69</v>
      </c>
      <c r="U187" t="s">
        <v>409</v>
      </c>
      <c r="V187" s="7">
        <v>1840.56</v>
      </c>
      <c r="W187">
        <v>160105</v>
      </c>
      <c r="X187">
        <v>160205</v>
      </c>
      <c r="Y187">
        <v>5602</v>
      </c>
    </row>
    <row r="188" spans="1:25">
      <c r="A188" t="s">
        <v>544</v>
      </c>
      <c r="B188" t="s">
        <v>531</v>
      </c>
      <c r="C188" t="s">
        <v>545</v>
      </c>
      <c r="D188" t="s">
        <v>546</v>
      </c>
      <c r="E188" t="s">
        <v>28</v>
      </c>
      <c r="F188" t="str">
        <f t="shared" si="2"/>
        <v>050005-华为笔记本电脑--1</v>
      </c>
      <c r="H188">
        <v>1</v>
      </c>
      <c r="I188" t="s">
        <v>30</v>
      </c>
      <c r="J188" t="s">
        <v>544</v>
      </c>
      <c r="K188" s="5">
        <v>44713</v>
      </c>
      <c r="L188" t="s">
        <v>419</v>
      </c>
      <c r="M188">
        <v>36</v>
      </c>
      <c r="N188">
        <v>1</v>
      </c>
      <c r="O188" t="s">
        <v>547</v>
      </c>
      <c r="P188" s="7">
        <v>6973.14</v>
      </c>
      <c r="Q188" s="7">
        <v>5704.31</v>
      </c>
      <c r="R188" s="7">
        <v>1268.83</v>
      </c>
      <c r="S188" s="7">
        <v>348.66</v>
      </c>
      <c r="T188" s="7">
        <v>184.01</v>
      </c>
      <c r="U188" t="s">
        <v>409</v>
      </c>
      <c r="V188" s="7">
        <v>4416.24</v>
      </c>
      <c r="W188">
        <v>160105</v>
      </c>
      <c r="X188">
        <v>160205</v>
      </c>
      <c r="Y188">
        <v>56021701</v>
      </c>
    </row>
    <row r="189" spans="1:25">
      <c r="A189" t="s">
        <v>441</v>
      </c>
      <c r="B189" t="s">
        <v>531</v>
      </c>
      <c r="C189" t="s">
        <v>548</v>
      </c>
      <c r="D189" t="s">
        <v>549</v>
      </c>
      <c r="E189" t="s">
        <v>28</v>
      </c>
      <c r="F189" t="str">
        <f t="shared" si="2"/>
        <v>050006-戴尔电脑--1</v>
      </c>
      <c r="H189">
        <v>1</v>
      </c>
      <c r="I189" t="s">
        <v>463</v>
      </c>
      <c r="J189" t="s">
        <v>441</v>
      </c>
      <c r="K189" s="5">
        <v>44805</v>
      </c>
      <c r="L189" t="s">
        <v>419</v>
      </c>
      <c r="M189">
        <v>36</v>
      </c>
      <c r="N189">
        <v>1</v>
      </c>
      <c r="O189" t="s">
        <v>456</v>
      </c>
      <c r="P189" s="7">
        <v>3219</v>
      </c>
      <c r="Q189" s="7">
        <v>2378.6</v>
      </c>
      <c r="R189" s="7">
        <v>840.4</v>
      </c>
      <c r="S189" s="7">
        <v>160.95</v>
      </c>
      <c r="T189" s="7">
        <v>84.95</v>
      </c>
      <c r="U189" t="s">
        <v>409</v>
      </c>
      <c r="V189" s="7">
        <v>2038.8</v>
      </c>
      <c r="W189">
        <v>160105</v>
      </c>
      <c r="X189">
        <v>160205</v>
      </c>
      <c r="Y189">
        <v>5602</v>
      </c>
    </row>
    <row r="190" spans="1:25">
      <c r="A190" t="s">
        <v>441</v>
      </c>
      <c r="B190" t="s">
        <v>531</v>
      </c>
      <c r="C190" t="s">
        <v>550</v>
      </c>
      <c r="D190" t="s">
        <v>551</v>
      </c>
      <c r="E190" t="s">
        <v>28</v>
      </c>
      <c r="F190" t="str">
        <f t="shared" si="2"/>
        <v>050007-惠普电脑--2</v>
      </c>
      <c r="H190">
        <v>2</v>
      </c>
      <c r="I190" t="s">
        <v>463</v>
      </c>
      <c r="J190" t="s">
        <v>441</v>
      </c>
      <c r="K190" s="5">
        <v>44805</v>
      </c>
      <c r="L190" t="s">
        <v>419</v>
      </c>
      <c r="M190">
        <v>36</v>
      </c>
      <c r="N190">
        <v>1</v>
      </c>
      <c r="O190" t="s">
        <v>456</v>
      </c>
      <c r="P190" s="7">
        <v>22509</v>
      </c>
      <c r="Q190" s="7">
        <v>16631.72</v>
      </c>
      <c r="R190" s="7">
        <v>5877.28</v>
      </c>
      <c r="S190" s="7">
        <v>1125.45</v>
      </c>
      <c r="T190" s="7">
        <v>593.99</v>
      </c>
      <c r="U190" t="s">
        <v>409</v>
      </c>
      <c r="V190" s="7">
        <v>14255.76</v>
      </c>
      <c r="W190">
        <v>160105</v>
      </c>
      <c r="X190">
        <v>160205</v>
      </c>
      <c r="Y190">
        <v>5602</v>
      </c>
    </row>
    <row r="191" spans="1:25">
      <c r="A191" t="s">
        <v>441</v>
      </c>
      <c r="B191" t="s">
        <v>531</v>
      </c>
      <c r="C191" t="s">
        <v>552</v>
      </c>
      <c r="D191" t="s">
        <v>553</v>
      </c>
      <c r="E191" t="s">
        <v>28</v>
      </c>
      <c r="F191" t="str">
        <f t="shared" si="2"/>
        <v>050008-小米电视机--3</v>
      </c>
      <c r="H191">
        <v>3</v>
      </c>
      <c r="I191" t="s">
        <v>463</v>
      </c>
      <c r="J191" t="s">
        <v>441</v>
      </c>
      <c r="K191" s="5">
        <v>44805</v>
      </c>
      <c r="L191" t="s">
        <v>419</v>
      </c>
      <c r="M191">
        <v>36</v>
      </c>
      <c r="N191">
        <v>1</v>
      </c>
      <c r="O191" t="s">
        <v>456</v>
      </c>
      <c r="P191" s="7">
        <v>8874.36</v>
      </c>
      <c r="Q191" s="7">
        <v>6557.04</v>
      </c>
      <c r="R191" s="7">
        <v>2317.32</v>
      </c>
      <c r="S191" s="7">
        <v>443.72</v>
      </c>
      <c r="T191" s="7">
        <v>234.18</v>
      </c>
      <c r="U191" t="s">
        <v>409</v>
      </c>
      <c r="V191" s="7">
        <v>5620.32</v>
      </c>
      <c r="W191">
        <v>160105</v>
      </c>
      <c r="X191">
        <v>160205</v>
      </c>
      <c r="Y191">
        <v>5602</v>
      </c>
    </row>
    <row r="192" spans="1:25">
      <c r="A192" t="s">
        <v>441</v>
      </c>
      <c r="B192" t="s">
        <v>531</v>
      </c>
      <c r="C192" t="s">
        <v>554</v>
      </c>
      <c r="D192" t="s">
        <v>549</v>
      </c>
      <c r="E192" t="s">
        <v>28</v>
      </c>
      <c r="F192" t="str">
        <f t="shared" si="2"/>
        <v>050009-戴尔电脑--1</v>
      </c>
      <c r="H192">
        <v>1</v>
      </c>
      <c r="I192" t="s">
        <v>463</v>
      </c>
      <c r="J192" t="s">
        <v>441</v>
      </c>
      <c r="K192" s="5">
        <v>44805</v>
      </c>
      <c r="L192" t="s">
        <v>419</v>
      </c>
      <c r="M192">
        <v>36</v>
      </c>
      <c r="N192">
        <v>1</v>
      </c>
      <c r="O192" t="s">
        <v>456</v>
      </c>
      <c r="P192" s="7">
        <v>7807</v>
      </c>
      <c r="Q192" s="7">
        <v>5768.56</v>
      </c>
      <c r="R192" s="7">
        <v>2038.44</v>
      </c>
      <c r="S192" s="7">
        <v>390.35</v>
      </c>
      <c r="T192" s="7">
        <v>206.02</v>
      </c>
      <c r="U192" t="s">
        <v>409</v>
      </c>
      <c r="V192" s="7">
        <v>4944.48</v>
      </c>
      <c r="W192">
        <v>160105</v>
      </c>
      <c r="X192">
        <v>160205</v>
      </c>
      <c r="Y192">
        <v>5602</v>
      </c>
    </row>
    <row r="193" spans="1:25">
      <c r="A193" t="s">
        <v>424</v>
      </c>
      <c r="B193" t="s">
        <v>531</v>
      </c>
      <c r="C193" t="s">
        <v>555</v>
      </c>
      <c r="D193" t="s">
        <v>556</v>
      </c>
      <c r="E193" t="s">
        <v>28</v>
      </c>
      <c r="F193" t="str">
        <f t="shared" si="2"/>
        <v>050010-联想笔记本电脑-ThinkBook 14-1</v>
      </c>
      <c r="G193" t="s">
        <v>557</v>
      </c>
      <c r="H193">
        <v>1</v>
      </c>
      <c r="I193" t="s">
        <v>30</v>
      </c>
      <c r="J193" t="s">
        <v>424</v>
      </c>
      <c r="K193" s="5">
        <v>44652</v>
      </c>
      <c r="L193" t="s">
        <v>419</v>
      </c>
      <c r="M193">
        <v>36</v>
      </c>
      <c r="N193">
        <v>1</v>
      </c>
      <c r="O193" t="s">
        <v>427</v>
      </c>
      <c r="P193" s="7">
        <v>4149.54</v>
      </c>
      <c r="Q193" s="7">
        <v>3613.5</v>
      </c>
      <c r="R193" s="7">
        <v>536.04</v>
      </c>
      <c r="S193" s="7">
        <v>207.48</v>
      </c>
      <c r="T193" s="7">
        <v>109.5</v>
      </c>
      <c r="U193" t="s">
        <v>409</v>
      </c>
      <c r="V193" s="7">
        <v>2628</v>
      </c>
      <c r="W193">
        <v>160105</v>
      </c>
      <c r="X193">
        <v>160205</v>
      </c>
      <c r="Y193">
        <v>56021701</v>
      </c>
    </row>
    <row r="194" spans="1:25">
      <c r="A194" t="s">
        <v>478</v>
      </c>
      <c r="B194" t="s">
        <v>531</v>
      </c>
      <c r="C194" t="s">
        <v>558</v>
      </c>
      <c r="D194" t="s">
        <v>559</v>
      </c>
      <c r="E194" t="s">
        <v>28</v>
      </c>
      <c r="F194" t="str">
        <f t="shared" ref="F194:F230" si="3">C194&amp;E194&amp;D194&amp;E194&amp;G194&amp;E194&amp;H194</f>
        <v>050011-爱普生打印复印扫描一体机（阿柴用）-L4268-1</v>
      </c>
      <c r="G194" t="s">
        <v>560</v>
      </c>
      <c r="H194">
        <v>1</v>
      </c>
      <c r="I194" t="s">
        <v>30</v>
      </c>
      <c r="J194" t="s">
        <v>478</v>
      </c>
      <c r="K194" t="s">
        <v>481</v>
      </c>
      <c r="L194" t="s">
        <v>419</v>
      </c>
      <c r="M194">
        <v>36</v>
      </c>
      <c r="N194">
        <v>1</v>
      </c>
      <c r="O194" t="s">
        <v>482</v>
      </c>
      <c r="P194" s="7">
        <v>1946</v>
      </c>
      <c r="Q194" s="7">
        <v>1335.1</v>
      </c>
      <c r="R194" s="7">
        <v>610.9</v>
      </c>
      <c r="S194" s="7">
        <v>97.3</v>
      </c>
      <c r="T194" s="7">
        <v>51.35</v>
      </c>
      <c r="U194" t="s">
        <v>409</v>
      </c>
      <c r="V194" s="7">
        <v>1232.4</v>
      </c>
      <c r="W194">
        <v>160105</v>
      </c>
      <c r="X194">
        <v>160205</v>
      </c>
      <c r="Y194">
        <v>56021701</v>
      </c>
    </row>
    <row r="195" spans="1:25">
      <c r="A195" t="s">
        <v>478</v>
      </c>
      <c r="B195" t="s">
        <v>531</v>
      </c>
      <c r="C195" t="s">
        <v>561</v>
      </c>
      <c r="D195" t="s">
        <v>562</v>
      </c>
      <c r="E195" t="s">
        <v>28</v>
      </c>
      <c r="F195" t="str">
        <f t="shared" si="3"/>
        <v>050012-京东-小米电视一台（阿柴用）--1</v>
      </c>
      <c r="H195">
        <v>1</v>
      </c>
      <c r="I195" t="s">
        <v>463</v>
      </c>
      <c r="J195" t="s">
        <v>478</v>
      </c>
      <c r="K195" t="s">
        <v>481</v>
      </c>
      <c r="L195" t="s">
        <v>419</v>
      </c>
      <c r="M195">
        <v>36</v>
      </c>
      <c r="N195">
        <v>1</v>
      </c>
      <c r="O195" t="s">
        <v>482</v>
      </c>
      <c r="P195" s="7">
        <v>1877.01</v>
      </c>
      <c r="Q195" s="7">
        <v>1287.78</v>
      </c>
      <c r="R195" s="7">
        <v>589.23</v>
      </c>
      <c r="S195" s="7">
        <v>93.85</v>
      </c>
      <c r="T195" s="7">
        <v>49.53</v>
      </c>
      <c r="U195" t="s">
        <v>409</v>
      </c>
      <c r="V195" s="7">
        <v>1188.72</v>
      </c>
      <c r="W195">
        <v>160105</v>
      </c>
      <c r="X195">
        <v>160205</v>
      </c>
      <c r="Y195">
        <v>5602</v>
      </c>
    </row>
    <row r="196" spans="1:25">
      <c r="A196" t="s">
        <v>481</v>
      </c>
      <c r="B196" t="s">
        <v>531</v>
      </c>
      <c r="C196" t="s">
        <v>563</v>
      </c>
      <c r="D196" t="s">
        <v>564</v>
      </c>
      <c r="E196" t="s">
        <v>28</v>
      </c>
      <c r="F196" t="str">
        <f t="shared" si="3"/>
        <v>050013-台式机五台--5</v>
      </c>
      <c r="H196">
        <v>5</v>
      </c>
      <c r="I196" t="s">
        <v>463</v>
      </c>
      <c r="J196" t="s">
        <v>481</v>
      </c>
      <c r="K196" s="5">
        <v>44896</v>
      </c>
      <c r="L196" t="s">
        <v>419</v>
      </c>
      <c r="M196">
        <v>36</v>
      </c>
      <c r="N196">
        <v>1</v>
      </c>
      <c r="O196" t="s">
        <v>485</v>
      </c>
      <c r="P196" s="7">
        <v>24261.05</v>
      </c>
      <c r="Q196" s="7">
        <v>16005.5</v>
      </c>
      <c r="R196" s="7">
        <v>8255.55</v>
      </c>
      <c r="S196" s="7">
        <v>1213.05</v>
      </c>
      <c r="T196" s="7">
        <v>640.22</v>
      </c>
      <c r="U196" t="s">
        <v>409</v>
      </c>
      <c r="V196" s="7">
        <v>15365.28</v>
      </c>
      <c r="W196">
        <v>160105</v>
      </c>
      <c r="X196">
        <v>160205</v>
      </c>
      <c r="Y196">
        <v>5602</v>
      </c>
    </row>
    <row r="197" spans="1:25">
      <c r="A197" t="s">
        <v>481</v>
      </c>
      <c r="B197" t="s">
        <v>531</v>
      </c>
      <c r="C197" t="s">
        <v>565</v>
      </c>
      <c r="D197" t="s">
        <v>566</v>
      </c>
      <c r="E197" t="s">
        <v>28</v>
      </c>
      <c r="F197" t="str">
        <f t="shared" si="3"/>
        <v>050014-戴尔显示器--1</v>
      </c>
      <c r="H197">
        <v>1</v>
      </c>
      <c r="I197" t="s">
        <v>463</v>
      </c>
      <c r="J197" t="s">
        <v>481</v>
      </c>
      <c r="K197" s="5">
        <v>44896</v>
      </c>
      <c r="L197" t="s">
        <v>419</v>
      </c>
      <c r="M197">
        <v>36</v>
      </c>
      <c r="N197">
        <v>1</v>
      </c>
      <c r="O197" t="s">
        <v>485</v>
      </c>
      <c r="P197" s="7">
        <v>799</v>
      </c>
      <c r="Q197" s="7">
        <v>527</v>
      </c>
      <c r="R197" s="7">
        <v>272</v>
      </c>
      <c r="S197" s="7">
        <v>39.95</v>
      </c>
      <c r="T197" s="7">
        <v>21.08</v>
      </c>
      <c r="U197" t="s">
        <v>409</v>
      </c>
      <c r="V197" s="7">
        <v>505.92</v>
      </c>
      <c r="W197">
        <v>160105</v>
      </c>
      <c r="X197">
        <v>160205</v>
      </c>
      <c r="Y197">
        <v>5602</v>
      </c>
    </row>
    <row r="198" spans="1:25">
      <c r="A198" t="s">
        <v>481</v>
      </c>
      <c r="B198" t="s">
        <v>531</v>
      </c>
      <c r="C198" t="s">
        <v>567</v>
      </c>
      <c r="D198" t="s">
        <v>568</v>
      </c>
      <c r="E198" t="s">
        <v>28</v>
      </c>
      <c r="F198" t="str">
        <f t="shared" si="3"/>
        <v>050015-AOC显示器--1</v>
      </c>
      <c r="H198">
        <v>1</v>
      </c>
      <c r="I198" t="s">
        <v>463</v>
      </c>
      <c r="J198" t="s">
        <v>481</v>
      </c>
      <c r="K198" s="5">
        <v>44896</v>
      </c>
      <c r="L198" t="s">
        <v>419</v>
      </c>
      <c r="M198">
        <v>36</v>
      </c>
      <c r="N198">
        <v>1</v>
      </c>
      <c r="O198" t="s">
        <v>485</v>
      </c>
      <c r="P198" s="7">
        <v>1799</v>
      </c>
      <c r="Q198" s="7">
        <v>1186.75</v>
      </c>
      <c r="R198" s="7">
        <v>612.25</v>
      </c>
      <c r="S198" s="7">
        <v>89.95</v>
      </c>
      <c r="T198" s="7">
        <v>47.47</v>
      </c>
      <c r="U198" t="s">
        <v>409</v>
      </c>
      <c r="V198" s="7">
        <v>1139.28</v>
      </c>
      <c r="W198">
        <v>160105</v>
      </c>
      <c r="X198">
        <v>160205</v>
      </c>
      <c r="Y198">
        <v>5602</v>
      </c>
    </row>
    <row r="199" spans="1:25">
      <c r="A199" t="s">
        <v>481</v>
      </c>
      <c r="B199" t="s">
        <v>531</v>
      </c>
      <c r="C199" t="s">
        <v>569</v>
      </c>
      <c r="D199" t="s">
        <v>570</v>
      </c>
      <c r="E199" t="s">
        <v>28</v>
      </c>
      <c r="F199" t="str">
        <f t="shared" si="3"/>
        <v>050016-惠普Z440主机--1</v>
      </c>
      <c r="H199">
        <v>1</v>
      </c>
      <c r="I199" t="s">
        <v>463</v>
      </c>
      <c r="J199" t="s">
        <v>481</v>
      </c>
      <c r="K199" s="5">
        <v>44896</v>
      </c>
      <c r="L199" t="s">
        <v>419</v>
      </c>
      <c r="M199">
        <v>36</v>
      </c>
      <c r="N199">
        <v>1</v>
      </c>
      <c r="O199" t="s">
        <v>485</v>
      </c>
      <c r="P199" s="7">
        <v>4667.89</v>
      </c>
      <c r="Q199" s="7">
        <v>3079.5</v>
      </c>
      <c r="R199" s="7">
        <v>1588.39</v>
      </c>
      <c r="S199" s="7">
        <v>233.39</v>
      </c>
      <c r="T199" s="7">
        <v>123.18</v>
      </c>
      <c r="U199" t="s">
        <v>409</v>
      </c>
      <c r="V199" s="7">
        <v>2956.32</v>
      </c>
      <c r="W199">
        <v>160105</v>
      </c>
      <c r="X199">
        <v>160205</v>
      </c>
      <c r="Y199">
        <v>5602</v>
      </c>
    </row>
    <row r="200" spans="1:25">
      <c r="A200" t="s">
        <v>481</v>
      </c>
      <c r="B200" t="s">
        <v>531</v>
      </c>
      <c r="C200" t="s">
        <v>571</v>
      </c>
      <c r="D200" t="s">
        <v>572</v>
      </c>
      <c r="E200" t="s">
        <v>28</v>
      </c>
      <c r="F200" t="str">
        <f t="shared" si="3"/>
        <v>050017-得力碎纸机--1</v>
      </c>
      <c r="H200">
        <v>1</v>
      </c>
      <c r="I200" t="s">
        <v>463</v>
      </c>
      <c r="J200" t="s">
        <v>481</v>
      </c>
      <c r="K200" s="5">
        <v>44896</v>
      </c>
      <c r="L200" t="s">
        <v>419</v>
      </c>
      <c r="M200">
        <v>36</v>
      </c>
      <c r="N200">
        <v>1</v>
      </c>
      <c r="O200" t="s">
        <v>485</v>
      </c>
      <c r="P200" s="7">
        <v>429</v>
      </c>
      <c r="Q200" s="7">
        <v>283</v>
      </c>
      <c r="R200" s="7">
        <v>146</v>
      </c>
      <c r="S200" s="7">
        <v>21.45</v>
      </c>
      <c r="T200" s="7">
        <v>11.32</v>
      </c>
      <c r="U200" t="s">
        <v>409</v>
      </c>
      <c r="V200" s="7">
        <v>271.68</v>
      </c>
      <c r="W200">
        <v>160105</v>
      </c>
      <c r="X200">
        <v>160205</v>
      </c>
      <c r="Y200">
        <v>5602</v>
      </c>
    </row>
    <row r="201" spans="1:25">
      <c r="A201" t="s">
        <v>491</v>
      </c>
      <c r="B201" t="s">
        <v>531</v>
      </c>
      <c r="C201" t="s">
        <v>573</v>
      </c>
      <c r="D201" t="s">
        <v>574</v>
      </c>
      <c r="E201" t="s">
        <v>28</v>
      </c>
      <c r="F201" t="str">
        <f t="shared" si="3"/>
        <v>090032-戴尔电子计算机--1</v>
      </c>
      <c r="H201">
        <v>1</v>
      </c>
      <c r="I201" t="s">
        <v>30</v>
      </c>
      <c r="J201" t="s">
        <v>491</v>
      </c>
      <c r="K201" s="5">
        <v>44927</v>
      </c>
      <c r="L201" t="s">
        <v>419</v>
      </c>
      <c r="M201">
        <v>36</v>
      </c>
      <c r="N201">
        <v>1</v>
      </c>
      <c r="O201" t="s">
        <v>494</v>
      </c>
      <c r="P201" s="7">
        <v>8255</v>
      </c>
      <c r="Q201" s="7">
        <v>5228.16</v>
      </c>
      <c r="R201" s="7">
        <v>3026.84</v>
      </c>
      <c r="S201" s="7">
        <v>412.75</v>
      </c>
      <c r="T201" s="7">
        <v>217.84</v>
      </c>
      <c r="U201" t="s">
        <v>409</v>
      </c>
      <c r="V201" s="7">
        <v>5228.16</v>
      </c>
      <c r="W201">
        <v>160105</v>
      </c>
      <c r="X201">
        <v>160205</v>
      </c>
      <c r="Y201">
        <v>56021701</v>
      </c>
    </row>
    <row r="202" spans="1:25">
      <c r="A202" t="s">
        <v>24</v>
      </c>
      <c r="B202" t="s">
        <v>531</v>
      </c>
      <c r="C202" t="s">
        <v>575</v>
      </c>
      <c r="D202" t="s">
        <v>103</v>
      </c>
      <c r="E202" t="s">
        <v>28</v>
      </c>
      <c r="F202" t="str">
        <f t="shared" si="3"/>
        <v>090041-频谱仪-RS5032-1</v>
      </c>
      <c r="G202" t="s">
        <v>576</v>
      </c>
      <c r="H202">
        <v>1</v>
      </c>
      <c r="I202" t="s">
        <v>30</v>
      </c>
      <c r="J202" t="s">
        <v>24</v>
      </c>
      <c r="K202" s="5">
        <v>45078</v>
      </c>
      <c r="L202" t="s">
        <v>419</v>
      </c>
      <c r="M202">
        <v>36</v>
      </c>
      <c r="N202">
        <v>1</v>
      </c>
      <c r="O202" t="s">
        <v>32</v>
      </c>
      <c r="P202" s="7">
        <v>47689.56</v>
      </c>
      <c r="Q202" s="7">
        <v>22652.56</v>
      </c>
      <c r="R202" s="7">
        <v>25037</v>
      </c>
      <c r="S202" s="7">
        <v>4768.96</v>
      </c>
      <c r="T202" s="7">
        <v>1192.24</v>
      </c>
      <c r="U202" t="s">
        <v>24</v>
      </c>
      <c r="V202" s="7">
        <v>22652.56</v>
      </c>
      <c r="W202">
        <v>160105</v>
      </c>
      <c r="X202">
        <v>160205</v>
      </c>
      <c r="Y202">
        <v>56021701</v>
      </c>
    </row>
    <row r="203" spans="1:25">
      <c r="A203" t="s">
        <v>577</v>
      </c>
      <c r="B203" t="s">
        <v>531</v>
      </c>
      <c r="C203" t="s">
        <v>578</v>
      </c>
      <c r="D203" t="s">
        <v>579</v>
      </c>
      <c r="E203" t="s">
        <v>28</v>
      </c>
      <c r="F203" t="str">
        <f t="shared" si="3"/>
        <v>090042-可编程多功能直流电源-HY-PM 10-520-L-1</v>
      </c>
      <c r="G203" t="s">
        <v>580</v>
      </c>
      <c r="H203">
        <v>1</v>
      </c>
      <c r="I203" t="s">
        <v>30</v>
      </c>
      <c r="J203" t="s">
        <v>577</v>
      </c>
      <c r="K203" s="5">
        <v>45108</v>
      </c>
      <c r="L203" t="s">
        <v>419</v>
      </c>
      <c r="M203">
        <v>36</v>
      </c>
      <c r="N203">
        <v>1</v>
      </c>
      <c r="O203" t="s">
        <v>581</v>
      </c>
      <c r="P203" s="7">
        <v>28592.92</v>
      </c>
      <c r="Q203" s="7">
        <v>12866.76</v>
      </c>
      <c r="R203" s="7">
        <v>15726.16</v>
      </c>
      <c r="S203" s="7">
        <v>2859.29</v>
      </c>
      <c r="T203" s="7">
        <v>714.82</v>
      </c>
      <c r="U203" t="s">
        <v>577</v>
      </c>
      <c r="V203" s="7">
        <v>12866.76</v>
      </c>
      <c r="W203">
        <v>160105</v>
      </c>
      <c r="X203">
        <v>160205</v>
      </c>
      <c r="Y203">
        <v>56021701</v>
      </c>
    </row>
    <row r="204" spans="1:25">
      <c r="A204" t="s">
        <v>582</v>
      </c>
      <c r="B204" t="s">
        <v>531</v>
      </c>
      <c r="C204" t="s">
        <v>583</v>
      </c>
      <c r="D204" t="s">
        <v>384</v>
      </c>
      <c r="E204" t="s">
        <v>28</v>
      </c>
      <c r="F204" t="str">
        <f t="shared" si="3"/>
        <v>090057-治具--1</v>
      </c>
      <c r="H204">
        <v>1</v>
      </c>
      <c r="I204" t="s">
        <v>30</v>
      </c>
      <c r="J204" t="s">
        <v>582</v>
      </c>
      <c r="K204" s="5">
        <v>45200</v>
      </c>
      <c r="L204" t="s">
        <v>419</v>
      </c>
      <c r="M204">
        <v>36</v>
      </c>
      <c r="N204">
        <v>1</v>
      </c>
      <c r="O204" t="s">
        <v>584</v>
      </c>
      <c r="P204" s="7">
        <v>52999.99</v>
      </c>
      <c r="Q204" s="7">
        <v>19875</v>
      </c>
      <c r="R204" s="7">
        <v>33124.99</v>
      </c>
      <c r="S204" s="7">
        <v>5300</v>
      </c>
      <c r="T204" s="7">
        <v>1325</v>
      </c>
      <c r="U204" t="s">
        <v>582</v>
      </c>
      <c r="V204" s="7">
        <v>19875</v>
      </c>
      <c r="W204">
        <v>160105</v>
      </c>
      <c r="X204">
        <v>160205</v>
      </c>
      <c r="Y204">
        <v>56021701</v>
      </c>
    </row>
    <row r="205" spans="1:25">
      <c r="A205" t="s">
        <v>582</v>
      </c>
      <c r="B205" t="s">
        <v>531</v>
      </c>
      <c r="C205" t="s">
        <v>585</v>
      </c>
      <c r="D205" t="s">
        <v>586</v>
      </c>
      <c r="E205" t="s">
        <v>28</v>
      </c>
      <c r="F205" t="str">
        <f t="shared" si="3"/>
        <v>090058-振动测试台--1</v>
      </c>
      <c r="H205">
        <v>1</v>
      </c>
      <c r="I205" t="s">
        <v>30</v>
      </c>
      <c r="J205" t="s">
        <v>582</v>
      </c>
      <c r="K205" s="5">
        <v>45200</v>
      </c>
      <c r="L205" t="s">
        <v>419</v>
      </c>
      <c r="M205">
        <v>36</v>
      </c>
      <c r="N205">
        <v>1</v>
      </c>
      <c r="O205" t="s">
        <v>584</v>
      </c>
      <c r="P205" s="7">
        <v>119530.98</v>
      </c>
      <c r="Q205" s="7">
        <v>44824.05</v>
      </c>
      <c r="R205" s="7">
        <v>74706.93</v>
      </c>
      <c r="S205" s="7">
        <v>11953.1</v>
      </c>
      <c r="T205" s="7">
        <v>2988.27</v>
      </c>
      <c r="U205" t="s">
        <v>582</v>
      </c>
      <c r="V205" s="7">
        <v>44824.05</v>
      </c>
      <c r="W205">
        <v>160105</v>
      </c>
      <c r="X205">
        <v>160205</v>
      </c>
      <c r="Y205">
        <v>56021701</v>
      </c>
    </row>
    <row r="206" spans="1:25">
      <c r="A206" t="s">
        <v>56</v>
      </c>
      <c r="B206" t="s">
        <v>531</v>
      </c>
      <c r="C206" t="s">
        <v>587</v>
      </c>
      <c r="D206" t="s">
        <v>588</v>
      </c>
      <c r="E206" t="s">
        <v>28</v>
      </c>
      <c r="F206" t="str">
        <f t="shared" si="3"/>
        <v>090062-台式万用表-DMM6500-1</v>
      </c>
      <c r="G206" t="s">
        <v>589</v>
      </c>
      <c r="H206">
        <v>1</v>
      </c>
      <c r="I206" t="s">
        <v>30</v>
      </c>
      <c r="J206" t="s">
        <v>56</v>
      </c>
      <c r="K206" s="5">
        <v>45231</v>
      </c>
      <c r="L206" t="s">
        <v>419</v>
      </c>
      <c r="M206">
        <v>36</v>
      </c>
      <c r="N206">
        <v>1</v>
      </c>
      <c r="O206" t="s">
        <v>59</v>
      </c>
      <c r="P206" s="7">
        <v>8565.49</v>
      </c>
      <c r="Q206" s="7">
        <v>2997.96</v>
      </c>
      <c r="R206" s="7">
        <v>5567.53</v>
      </c>
      <c r="S206" s="7">
        <v>856.55</v>
      </c>
      <c r="T206" s="7">
        <v>214.14</v>
      </c>
      <c r="U206" t="s">
        <v>56</v>
      </c>
      <c r="V206" s="7">
        <v>2997.96</v>
      </c>
      <c r="W206">
        <v>160105</v>
      </c>
      <c r="X206">
        <v>160205</v>
      </c>
      <c r="Y206">
        <v>56021701</v>
      </c>
    </row>
    <row r="207" spans="1:25">
      <c r="A207" t="s">
        <v>56</v>
      </c>
      <c r="B207" t="s">
        <v>531</v>
      </c>
      <c r="C207" t="s">
        <v>590</v>
      </c>
      <c r="D207" t="s">
        <v>591</v>
      </c>
      <c r="E207" t="s">
        <v>28</v>
      </c>
      <c r="F207" t="str">
        <f t="shared" si="3"/>
        <v>090063-电工仪器仪表-IT8813C-1</v>
      </c>
      <c r="G207" t="s">
        <v>592</v>
      </c>
      <c r="H207">
        <v>1</v>
      </c>
      <c r="I207" t="s">
        <v>30</v>
      </c>
      <c r="J207" t="s">
        <v>56</v>
      </c>
      <c r="K207" s="5">
        <v>45231</v>
      </c>
      <c r="L207" t="s">
        <v>419</v>
      </c>
      <c r="M207">
        <v>36</v>
      </c>
      <c r="N207">
        <v>1</v>
      </c>
      <c r="O207" t="s">
        <v>59</v>
      </c>
      <c r="P207" s="7">
        <v>9891.15</v>
      </c>
      <c r="Q207" s="7">
        <v>3461.92</v>
      </c>
      <c r="R207" s="7">
        <v>6429.23</v>
      </c>
      <c r="S207" s="7">
        <v>989.12</v>
      </c>
      <c r="T207" s="7">
        <v>247.28</v>
      </c>
      <c r="U207" t="s">
        <v>56</v>
      </c>
      <c r="V207" s="7">
        <v>3461.92</v>
      </c>
      <c r="W207">
        <v>160105</v>
      </c>
      <c r="X207">
        <v>160205</v>
      </c>
      <c r="Y207">
        <v>56021701</v>
      </c>
    </row>
    <row r="208" spans="1:25">
      <c r="A208" t="s">
        <v>114</v>
      </c>
      <c r="B208" t="s">
        <v>531</v>
      </c>
      <c r="C208" t="s">
        <v>593</v>
      </c>
      <c r="D208" t="s">
        <v>594</v>
      </c>
      <c r="E208" t="s">
        <v>28</v>
      </c>
      <c r="F208" t="str">
        <f t="shared" si="3"/>
        <v>090086-电脑--5</v>
      </c>
      <c r="H208">
        <v>5</v>
      </c>
      <c r="I208" t="s">
        <v>36</v>
      </c>
      <c r="J208" t="s">
        <v>114</v>
      </c>
      <c r="K208" s="5">
        <v>45444</v>
      </c>
      <c r="L208" t="s">
        <v>419</v>
      </c>
      <c r="M208">
        <v>36</v>
      </c>
      <c r="N208">
        <v>1</v>
      </c>
      <c r="O208" t="s">
        <v>117</v>
      </c>
      <c r="P208" s="7">
        <v>6546.46</v>
      </c>
      <c r="Q208" s="7">
        <v>1145.62</v>
      </c>
      <c r="R208" s="7">
        <v>5400.84</v>
      </c>
      <c r="S208" s="7">
        <v>654.65</v>
      </c>
      <c r="T208" s="7">
        <v>163.66</v>
      </c>
      <c r="U208" t="s">
        <v>114</v>
      </c>
      <c r="V208" s="7">
        <v>1145.62</v>
      </c>
      <c r="W208">
        <v>160105</v>
      </c>
      <c r="X208">
        <v>160205</v>
      </c>
      <c r="Y208">
        <v>410102</v>
      </c>
    </row>
    <row r="209" spans="1:25">
      <c r="A209" t="s">
        <v>114</v>
      </c>
      <c r="B209" t="s">
        <v>531</v>
      </c>
      <c r="C209" t="s">
        <v>595</v>
      </c>
      <c r="D209" t="s">
        <v>594</v>
      </c>
      <c r="E209" t="s">
        <v>28</v>
      </c>
      <c r="F209" t="str">
        <f t="shared" si="3"/>
        <v>090087-电脑--5</v>
      </c>
      <c r="H209">
        <v>5</v>
      </c>
      <c r="I209" t="s">
        <v>36</v>
      </c>
      <c r="J209" t="s">
        <v>114</v>
      </c>
      <c r="K209" s="5">
        <v>45444</v>
      </c>
      <c r="L209" t="s">
        <v>419</v>
      </c>
      <c r="M209">
        <v>36</v>
      </c>
      <c r="N209">
        <v>1</v>
      </c>
      <c r="O209" t="s">
        <v>117</v>
      </c>
      <c r="P209" s="7">
        <v>6546.02</v>
      </c>
      <c r="Q209" s="7">
        <v>1145.55</v>
      </c>
      <c r="R209" s="7">
        <v>5400.47</v>
      </c>
      <c r="S209" s="7">
        <v>654.6</v>
      </c>
      <c r="T209" s="7">
        <v>163.65</v>
      </c>
      <c r="U209" t="s">
        <v>114</v>
      </c>
      <c r="V209" s="7">
        <v>1145.55</v>
      </c>
      <c r="W209">
        <v>160105</v>
      </c>
      <c r="X209">
        <v>160205</v>
      </c>
      <c r="Y209">
        <v>410102</v>
      </c>
    </row>
    <row r="210" spans="1:25">
      <c r="A210" t="s">
        <v>114</v>
      </c>
      <c r="B210" t="s">
        <v>531</v>
      </c>
      <c r="C210" t="s">
        <v>596</v>
      </c>
      <c r="D210" t="s">
        <v>594</v>
      </c>
      <c r="E210" t="s">
        <v>28</v>
      </c>
      <c r="F210" t="str">
        <f t="shared" si="3"/>
        <v>090088-电脑-戴尔R730XD-1</v>
      </c>
      <c r="G210" t="s">
        <v>597</v>
      </c>
      <c r="H210">
        <v>1</v>
      </c>
      <c r="I210" t="s">
        <v>463</v>
      </c>
      <c r="J210" t="s">
        <v>114</v>
      </c>
      <c r="K210" s="5">
        <v>45444</v>
      </c>
      <c r="L210" t="s">
        <v>419</v>
      </c>
      <c r="M210">
        <v>36</v>
      </c>
      <c r="N210">
        <v>1</v>
      </c>
      <c r="O210" t="s">
        <v>117</v>
      </c>
      <c r="P210" s="7">
        <v>7951</v>
      </c>
      <c r="Q210" s="7">
        <v>1391.46</v>
      </c>
      <c r="R210" s="7">
        <v>6559.54</v>
      </c>
      <c r="S210" s="7">
        <v>795.1</v>
      </c>
      <c r="T210" s="7">
        <v>198.78</v>
      </c>
      <c r="U210" t="s">
        <v>114</v>
      </c>
      <c r="V210" s="7">
        <v>1391.46</v>
      </c>
      <c r="W210">
        <v>160105</v>
      </c>
      <c r="X210">
        <v>160205</v>
      </c>
      <c r="Y210">
        <v>5602</v>
      </c>
    </row>
    <row r="211" spans="1:25">
      <c r="A211" t="s">
        <v>120</v>
      </c>
      <c r="B211" t="s">
        <v>531</v>
      </c>
      <c r="C211" t="s">
        <v>598</v>
      </c>
      <c r="D211" t="s">
        <v>594</v>
      </c>
      <c r="E211" t="s">
        <v>28</v>
      </c>
      <c r="F211" t="str">
        <f t="shared" si="3"/>
        <v>090090-电脑--1</v>
      </c>
      <c r="H211">
        <v>1</v>
      </c>
      <c r="I211" t="s">
        <v>30</v>
      </c>
      <c r="J211" t="s">
        <v>120</v>
      </c>
      <c r="K211" s="5">
        <v>45474</v>
      </c>
      <c r="L211" t="s">
        <v>419</v>
      </c>
      <c r="M211">
        <v>36</v>
      </c>
      <c r="N211">
        <v>1</v>
      </c>
      <c r="O211" t="s">
        <v>123</v>
      </c>
      <c r="P211" s="7">
        <v>9026.55</v>
      </c>
      <c r="Q211" s="7">
        <v>1353.96</v>
      </c>
      <c r="R211" s="7">
        <v>7672.59</v>
      </c>
      <c r="S211" s="7">
        <v>902.66</v>
      </c>
      <c r="T211" s="7">
        <v>225.66</v>
      </c>
      <c r="U211" t="s">
        <v>120</v>
      </c>
      <c r="V211" s="7">
        <v>1353.96</v>
      </c>
      <c r="W211">
        <v>160105</v>
      </c>
      <c r="X211">
        <v>160205</v>
      </c>
      <c r="Y211">
        <v>56021701</v>
      </c>
    </row>
    <row r="212" spans="1:25">
      <c r="A212" t="s">
        <v>120</v>
      </c>
      <c r="B212" t="s">
        <v>531</v>
      </c>
      <c r="C212" t="s">
        <v>599</v>
      </c>
      <c r="D212" t="s">
        <v>594</v>
      </c>
      <c r="E212" t="s">
        <v>28</v>
      </c>
      <c r="F212" t="str">
        <f t="shared" si="3"/>
        <v>090091-电脑--5</v>
      </c>
      <c r="H212">
        <v>5</v>
      </c>
      <c r="I212" t="s">
        <v>36</v>
      </c>
      <c r="J212" t="s">
        <v>120</v>
      </c>
      <c r="K212" s="5">
        <v>45474</v>
      </c>
      <c r="L212" t="s">
        <v>419</v>
      </c>
      <c r="M212">
        <v>36</v>
      </c>
      <c r="N212">
        <v>1</v>
      </c>
      <c r="O212" t="s">
        <v>123</v>
      </c>
      <c r="P212" s="7">
        <v>6546.02</v>
      </c>
      <c r="Q212" s="7">
        <v>981.9</v>
      </c>
      <c r="R212" s="7">
        <v>5564.12</v>
      </c>
      <c r="S212" s="7">
        <v>654.6</v>
      </c>
      <c r="T212" s="7">
        <v>163.65</v>
      </c>
      <c r="U212" t="s">
        <v>120</v>
      </c>
      <c r="V212" s="7">
        <v>981.9</v>
      </c>
      <c r="W212">
        <v>160105</v>
      </c>
      <c r="X212">
        <v>160205</v>
      </c>
      <c r="Y212">
        <v>410102</v>
      </c>
    </row>
    <row r="213" spans="1:25">
      <c r="A213" t="s">
        <v>120</v>
      </c>
      <c r="B213" t="s">
        <v>531</v>
      </c>
      <c r="C213" t="s">
        <v>600</v>
      </c>
      <c r="D213" t="s">
        <v>601</v>
      </c>
      <c r="E213" t="s">
        <v>28</v>
      </c>
      <c r="F213" t="str">
        <f t="shared" si="3"/>
        <v>090093-笔记本电脑-戴尔VOS15-1</v>
      </c>
      <c r="G213" t="s">
        <v>602</v>
      </c>
      <c r="H213">
        <v>1</v>
      </c>
      <c r="I213" t="s">
        <v>36</v>
      </c>
      <c r="J213" t="s">
        <v>120</v>
      </c>
      <c r="K213" s="5">
        <v>45474</v>
      </c>
      <c r="L213" t="s">
        <v>419</v>
      </c>
      <c r="M213">
        <v>36</v>
      </c>
      <c r="N213">
        <v>1</v>
      </c>
      <c r="O213" t="s">
        <v>123</v>
      </c>
      <c r="P213" s="7">
        <v>5499</v>
      </c>
      <c r="Q213" s="7">
        <v>824.88</v>
      </c>
      <c r="R213" s="7">
        <v>4674.12</v>
      </c>
      <c r="S213" s="7">
        <v>549.9</v>
      </c>
      <c r="T213" s="7">
        <v>137.48</v>
      </c>
      <c r="U213" t="s">
        <v>120</v>
      </c>
      <c r="V213" s="7">
        <v>824.88</v>
      </c>
      <c r="W213">
        <v>160105</v>
      </c>
      <c r="X213">
        <v>160205</v>
      </c>
      <c r="Y213">
        <v>410102</v>
      </c>
    </row>
    <row r="214" spans="1:25">
      <c r="A214" t="s">
        <v>126</v>
      </c>
      <c r="B214" t="s">
        <v>531</v>
      </c>
      <c r="C214" t="s">
        <v>603</v>
      </c>
      <c r="D214" t="s">
        <v>594</v>
      </c>
      <c r="E214" t="s">
        <v>28</v>
      </c>
      <c r="F214" t="str">
        <f t="shared" si="3"/>
        <v>090096-电脑-组装机-1</v>
      </c>
      <c r="G214" t="s">
        <v>604</v>
      </c>
      <c r="H214">
        <v>1</v>
      </c>
      <c r="I214" t="s">
        <v>36</v>
      </c>
      <c r="J214" t="s">
        <v>126</v>
      </c>
      <c r="K214" s="5">
        <v>45505</v>
      </c>
      <c r="L214" t="s">
        <v>419</v>
      </c>
      <c r="M214">
        <v>36</v>
      </c>
      <c r="N214">
        <v>1</v>
      </c>
      <c r="O214" t="s">
        <v>129</v>
      </c>
      <c r="P214" s="7">
        <v>3570.8</v>
      </c>
      <c r="Q214" s="7">
        <v>446.35</v>
      </c>
      <c r="R214" s="7">
        <v>3124.45</v>
      </c>
      <c r="S214" s="7">
        <v>357.08</v>
      </c>
      <c r="T214" s="7">
        <v>89.27</v>
      </c>
      <c r="U214" t="s">
        <v>126</v>
      </c>
      <c r="V214" s="7">
        <v>446.35</v>
      </c>
      <c r="W214">
        <v>160105</v>
      </c>
      <c r="X214">
        <v>160205</v>
      </c>
      <c r="Y214">
        <v>410102</v>
      </c>
    </row>
    <row r="215" spans="1:25">
      <c r="A215" t="s">
        <v>126</v>
      </c>
      <c r="B215" t="s">
        <v>531</v>
      </c>
      <c r="C215" t="s">
        <v>605</v>
      </c>
      <c r="D215" t="s">
        <v>606</v>
      </c>
      <c r="E215" t="s">
        <v>28</v>
      </c>
      <c r="F215" t="str">
        <f t="shared" si="3"/>
        <v>090097-通用电子测量仪器-TH1963-1</v>
      </c>
      <c r="G215" t="s">
        <v>607</v>
      </c>
      <c r="H215">
        <v>1</v>
      </c>
      <c r="I215" t="s">
        <v>36</v>
      </c>
      <c r="J215" t="s">
        <v>126</v>
      </c>
      <c r="K215" s="5">
        <v>45505</v>
      </c>
      <c r="L215" t="s">
        <v>419</v>
      </c>
      <c r="M215">
        <v>36</v>
      </c>
      <c r="N215">
        <v>1</v>
      </c>
      <c r="O215" t="s">
        <v>129</v>
      </c>
      <c r="P215" s="7">
        <v>5451.33</v>
      </c>
      <c r="Q215" s="7">
        <v>719.25</v>
      </c>
      <c r="R215" s="7">
        <v>4732.08</v>
      </c>
      <c r="S215" s="7">
        <v>272.57</v>
      </c>
      <c r="T215" s="7">
        <v>143.85</v>
      </c>
      <c r="U215" t="s">
        <v>126</v>
      </c>
      <c r="V215" s="7">
        <v>719.25</v>
      </c>
      <c r="W215">
        <v>160105</v>
      </c>
      <c r="X215">
        <v>160205</v>
      </c>
      <c r="Y215">
        <v>410102</v>
      </c>
    </row>
    <row r="216" spans="1:25">
      <c r="A216" t="s">
        <v>132</v>
      </c>
      <c r="B216" t="s">
        <v>531</v>
      </c>
      <c r="C216" t="s">
        <v>608</v>
      </c>
      <c r="D216" t="s">
        <v>543</v>
      </c>
      <c r="E216" t="s">
        <v>28</v>
      </c>
      <c r="F216" t="str">
        <f t="shared" si="3"/>
        <v>090103-台式电脑-华硕组装机-1</v>
      </c>
      <c r="G216" t="s">
        <v>609</v>
      </c>
      <c r="H216">
        <v>1</v>
      </c>
      <c r="I216" t="s">
        <v>36</v>
      </c>
      <c r="J216" t="s">
        <v>132</v>
      </c>
      <c r="K216" s="5">
        <v>45536</v>
      </c>
      <c r="L216" t="s">
        <v>419</v>
      </c>
      <c r="M216">
        <v>36</v>
      </c>
      <c r="N216">
        <v>1</v>
      </c>
      <c r="O216" t="s">
        <v>136</v>
      </c>
      <c r="P216" s="7">
        <v>1190.26</v>
      </c>
      <c r="Q216" s="7">
        <v>119.04</v>
      </c>
      <c r="R216" s="7">
        <v>1071.22</v>
      </c>
      <c r="S216" s="7">
        <v>119.03</v>
      </c>
      <c r="T216" s="7">
        <v>29.76</v>
      </c>
      <c r="U216" t="s">
        <v>132</v>
      </c>
      <c r="V216" s="7">
        <v>119.04</v>
      </c>
      <c r="W216">
        <v>160105</v>
      </c>
      <c r="X216">
        <v>160205</v>
      </c>
      <c r="Y216">
        <v>410102</v>
      </c>
    </row>
    <row r="217" spans="1:25">
      <c r="A217" t="s">
        <v>132</v>
      </c>
      <c r="B217" t="s">
        <v>531</v>
      </c>
      <c r="C217" t="s">
        <v>610</v>
      </c>
      <c r="D217" t="s">
        <v>543</v>
      </c>
      <c r="E217" t="s">
        <v>28</v>
      </c>
      <c r="F217" t="str">
        <f t="shared" si="3"/>
        <v>090104-台式电脑-华硕组装机-1</v>
      </c>
      <c r="G217" t="s">
        <v>609</v>
      </c>
      <c r="H217">
        <v>1</v>
      </c>
      <c r="I217" t="s">
        <v>36</v>
      </c>
      <c r="J217" t="s">
        <v>132</v>
      </c>
      <c r="K217" s="5">
        <v>45536</v>
      </c>
      <c r="L217" t="s">
        <v>419</v>
      </c>
      <c r="M217">
        <v>36</v>
      </c>
      <c r="N217">
        <v>1</v>
      </c>
      <c r="O217" t="s">
        <v>136</v>
      </c>
      <c r="P217" s="7">
        <v>1190.27</v>
      </c>
      <c r="Q217" s="7">
        <v>119.04</v>
      </c>
      <c r="R217" s="7">
        <v>1071.23</v>
      </c>
      <c r="S217" s="7">
        <v>119.03</v>
      </c>
      <c r="T217" s="7">
        <v>29.76</v>
      </c>
      <c r="U217" t="s">
        <v>132</v>
      </c>
      <c r="V217" s="7">
        <v>119.04</v>
      </c>
      <c r="W217">
        <v>160105</v>
      </c>
      <c r="X217">
        <v>160205</v>
      </c>
      <c r="Y217">
        <v>410102</v>
      </c>
    </row>
    <row r="218" spans="1:25">
      <c r="A218" t="s">
        <v>132</v>
      </c>
      <c r="B218" t="s">
        <v>531</v>
      </c>
      <c r="C218" t="s">
        <v>611</v>
      </c>
      <c r="D218" t="s">
        <v>543</v>
      </c>
      <c r="E218" t="s">
        <v>28</v>
      </c>
      <c r="F218" t="str">
        <f t="shared" si="3"/>
        <v>090105-台式电脑-华硕组装机-1</v>
      </c>
      <c r="G218" t="s">
        <v>609</v>
      </c>
      <c r="H218">
        <v>1</v>
      </c>
      <c r="I218" t="s">
        <v>36</v>
      </c>
      <c r="J218" t="s">
        <v>132</v>
      </c>
      <c r="K218" s="5">
        <v>45536</v>
      </c>
      <c r="L218" t="s">
        <v>419</v>
      </c>
      <c r="M218">
        <v>36</v>
      </c>
      <c r="N218">
        <v>1</v>
      </c>
      <c r="O218" t="s">
        <v>136</v>
      </c>
      <c r="P218" s="7">
        <v>1190.27</v>
      </c>
      <c r="Q218" s="7">
        <v>119.04</v>
      </c>
      <c r="R218" s="7">
        <v>1071.23</v>
      </c>
      <c r="S218" s="7">
        <v>119.03</v>
      </c>
      <c r="T218" s="7">
        <v>29.76</v>
      </c>
      <c r="U218" t="s">
        <v>132</v>
      </c>
      <c r="V218" s="7">
        <v>119.04</v>
      </c>
      <c r="W218">
        <v>160105</v>
      </c>
      <c r="X218">
        <v>160205</v>
      </c>
      <c r="Y218">
        <v>410102</v>
      </c>
    </row>
    <row r="219" spans="1:25">
      <c r="A219" t="s">
        <v>161</v>
      </c>
      <c r="B219" t="s">
        <v>531</v>
      </c>
      <c r="C219" t="s">
        <v>612</v>
      </c>
      <c r="D219" t="s">
        <v>613</v>
      </c>
      <c r="E219" t="s">
        <v>28</v>
      </c>
      <c r="F219" t="str">
        <f t="shared" si="3"/>
        <v>090119-AOC显示器+电脑主机-CU34P2C-1</v>
      </c>
      <c r="G219" t="s">
        <v>614</v>
      </c>
      <c r="H219">
        <v>1</v>
      </c>
      <c r="I219" t="s">
        <v>30</v>
      </c>
      <c r="J219" t="s">
        <v>161</v>
      </c>
      <c r="K219" s="5">
        <v>45597</v>
      </c>
      <c r="L219" t="s">
        <v>419</v>
      </c>
      <c r="M219">
        <v>36</v>
      </c>
      <c r="N219">
        <v>1</v>
      </c>
      <c r="O219" t="s">
        <v>164</v>
      </c>
      <c r="P219" s="7">
        <v>9522.12</v>
      </c>
      <c r="Q219" s="7">
        <v>476.1</v>
      </c>
      <c r="R219" s="7">
        <v>9046.02</v>
      </c>
      <c r="S219" s="7">
        <v>952.21</v>
      </c>
      <c r="T219" s="7">
        <v>238.05</v>
      </c>
      <c r="U219" t="s">
        <v>161</v>
      </c>
      <c r="V219" s="7">
        <v>476.1</v>
      </c>
      <c r="W219">
        <v>160105</v>
      </c>
      <c r="X219">
        <v>160205</v>
      </c>
      <c r="Y219">
        <v>56021701</v>
      </c>
    </row>
    <row r="220" spans="1:25">
      <c r="A220" t="s">
        <v>184</v>
      </c>
      <c r="B220" t="s">
        <v>531</v>
      </c>
      <c r="C220" t="s">
        <v>615</v>
      </c>
      <c r="D220" t="s">
        <v>546</v>
      </c>
      <c r="E220" t="s">
        <v>28</v>
      </c>
      <c r="F220" t="str">
        <f t="shared" si="3"/>
        <v>090121-华为笔记本电脑-华为D15-1</v>
      </c>
      <c r="G220" t="s">
        <v>616</v>
      </c>
      <c r="H220">
        <v>1</v>
      </c>
      <c r="I220" t="s">
        <v>30</v>
      </c>
      <c r="J220" t="s">
        <v>184</v>
      </c>
      <c r="K220" s="5">
        <v>45627</v>
      </c>
      <c r="L220" t="s">
        <v>419</v>
      </c>
      <c r="M220">
        <v>36</v>
      </c>
      <c r="N220">
        <v>1</v>
      </c>
      <c r="O220" t="s">
        <v>617</v>
      </c>
      <c r="P220" s="7">
        <v>3190</v>
      </c>
      <c r="Q220" s="7">
        <v>79.75</v>
      </c>
      <c r="R220" s="7">
        <v>3110.25</v>
      </c>
      <c r="S220" s="7">
        <v>319</v>
      </c>
      <c r="T220" s="7">
        <v>79.75</v>
      </c>
      <c r="U220" t="s">
        <v>184</v>
      </c>
      <c r="V220" s="7">
        <v>79.75</v>
      </c>
      <c r="W220">
        <v>160105</v>
      </c>
      <c r="X220">
        <v>160205</v>
      </c>
      <c r="Y220">
        <v>56021701</v>
      </c>
    </row>
    <row r="221" spans="1:25">
      <c r="A221" t="s">
        <v>184</v>
      </c>
      <c r="B221" t="s">
        <v>531</v>
      </c>
      <c r="C221" t="s">
        <v>618</v>
      </c>
      <c r="D221" t="s">
        <v>619</v>
      </c>
      <c r="E221" t="s">
        <v>28</v>
      </c>
      <c r="F221" t="str">
        <f t="shared" si="3"/>
        <v>090123-频谱分析仪-DSA710-1</v>
      </c>
      <c r="G221" t="s">
        <v>104</v>
      </c>
      <c r="H221">
        <v>1</v>
      </c>
      <c r="I221" t="s">
        <v>30</v>
      </c>
      <c r="J221" t="s">
        <v>184</v>
      </c>
      <c r="K221" s="5">
        <v>45627</v>
      </c>
      <c r="L221" t="s">
        <v>419</v>
      </c>
      <c r="M221">
        <v>36</v>
      </c>
      <c r="N221">
        <v>1</v>
      </c>
      <c r="O221" t="s">
        <v>617</v>
      </c>
      <c r="P221" s="7">
        <v>8847.79</v>
      </c>
      <c r="Q221" s="7">
        <v>221.19</v>
      </c>
      <c r="R221" s="7">
        <v>8626.6</v>
      </c>
      <c r="S221" s="7">
        <v>884.78</v>
      </c>
      <c r="T221" s="7">
        <v>221.19</v>
      </c>
      <c r="U221" t="s">
        <v>184</v>
      </c>
      <c r="V221" s="7">
        <v>221.19</v>
      </c>
      <c r="W221">
        <v>160105</v>
      </c>
      <c r="X221">
        <v>160205</v>
      </c>
      <c r="Y221">
        <v>56021701</v>
      </c>
    </row>
    <row r="222" spans="1:25">
      <c r="A222" t="s">
        <v>184</v>
      </c>
      <c r="B222" t="s">
        <v>531</v>
      </c>
      <c r="C222" t="s">
        <v>620</v>
      </c>
      <c r="D222" t="s">
        <v>621</v>
      </c>
      <c r="E222" t="s">
        <v>28</v>
      </c>
      <c r="F222" t="str">
        <f t="shared" si="3"/>
        <v>090124-液晶显示器-CU34P2C-3</v>
      </c>
      <c r="G222" t="s">
        <v>614</v>
      </c>
      <c r="H222">
        <v>3</v>
      </c>
      <c r="I222" t="s">
        <v>530</v>
      </c>
      <c r="J222" t="s">
        <v>184</v>
      </c>
      <c r="K222" s="5">
        <v>45627</v>
      </c>
      <c r="L222" t="s">
        <v>419</v>
      </c>
      <c r="M222">
        <v>36</v>
      </c>
      <c r="N222">
        <v>1</v>
      </c>
      <c r="O222" t="s">
        <v>617</v>
      </c>
      <c r="P222" s="7">
        <v>6103.54</v>
      </c>
      <c r="Q222" s="7">
        <v>152.59</v>
      </c>
      <c r="R222" s="7">
        <v>5950.95</v>
      </c>
      <c r="S222" s="7">
        <v>610.35</v>
      </c>
      <c r="T222" s="7">
        <v>152.59</v>
      </c>
      <c r="U222" t="s">
        <v>184</v>
      </c>
      <c r="V222" s="7">
        <v>152.59</v>
      </c>
      <c r="W222">
        <v>160105</v>
      </c>
      <c r="X222">
        <v>160205</v>
      </c>
      <c r="Y222">
        <v>5602</v>
      </c>
    </row>
    <row r="223" spans="1:25">
      <c r="A223" t="s">
        <v>184</v>
      </c>
      <c r="B223" t="s">
        <v>531</v>
      </c>
      <c r="C223" t="s">
        <v>622</v>
      </c>
      <c r="D223" t="s">
        <v>546</v>
      </c>
      <c r="E223" t="s">
        <v>28</v>
      </c>
      <c r="F223" t="str">
        <f t="shared" si="3"/>
        <v>090125-华为笔记本电脑-D15-1</v>
      </c>
      <c r="G223" t="s">
        <v>623</v>
      </c>
      <c r="H223">
        <v>1</v>
      </c>
      <c r="I223" t="s">
        <v>624</v>
      </c>
      <c r="J223" t="s">
        <v>184</v>
      </c>
      <c r="K223" s="5">
        <v>45627</v>
      </c>
      <c r="L223" t="s">
        <v>419</v>
      </c>
      <c r="M223">
        <v>36</v>
      </c>
      <c r="N223">
        <v>1</v>
      </c>
      <c r="O223" t="s">
        <v>617</v>
      </c>
      <c r="P223" s="7">
        <v>3190</v>
      </c>
      <c r="Q223" s="7">
        <v>79.75</v>
      </c>
      <c r="R223" s="7">
        <v>3110.25</v>
      </c>
      <c r="S223" s="7">
        <v>319</v>
      </c>
      <c r="T223" s="7">
        <v>79.75</v>
      </c>
      <c r="U223" t="s">
        <v>184</v>
      </c>
      <c r="V223" s="7">
        <v>79.75</v>
      </c>
      <c r="W223">
        <v>160105</v>
      </c>
      <c r="X223">
        <v>160205</v>
      </c>
      <c r="Y223">
        <v>5602</v>
      </c>
    </row>
    <row r="224" spans="1:25">
      <c r="A224" t="s">
        <v>184</v>
      </c>
      <c r="B224" t="s">
        <v>531</v>
      </c>
      <c r="C224" t="s">
        <v>625</v>
      </c>
      <c r="D224" t="s">
        <v>626</v>
      </c>
      <c r="E224" t="s">
        <v>28</v>
      </c>
      <c r="F224" t="str">
        <f t="shared" si="3"/>
        <v>090126-曲面丝印机--1</v>
      </c>
      <c r="H224">
        <v>1</v>
      </c>
      <c r="I224" t="s">
        <v>30</v>
      </c>
      <c r="J224" t="s">
        <v>184</v>
      </c>
      <c r="K224" s="5">
        <v>45627</v>
      </c>
      <c r="L224" t="s">
        <v>419</v>
      </c>
      <c r="M224">
        <v>36</v>
      </c>
      <c r="N224">
        <v>1</v>
      </c>
      <c r="O224" t="s">
        <v>617</v>
      </c>
      <c r="P224" s="7">
        <v>7281.42</v>
      </c>
      <c r="Q224" s="7">
        <v>182.04</v>
      </c>
      <c r="R224" s="7">
        <v>7099.38</v>
      </c>
      <c r="S224" s="7">
        <v>728.14</v>
      </c>
      <c r="T224" s="7">
        <v>182.04</v>
      </c>
      <c r="U224" t="s">
        <v>184</v>
      </c>
      <c r="V224" s="7">
        <v>182.04</v>
      </c>
      <c r="W224">
        <v>160105</v>
      </c>
      <c r="X224">
        <v>160205</v>
      </c>
      <c r="Y224">
        <v>56021701</v>
      </c>
    </row>
    <row r="225" spans="1:25">
      <c r="A225" t="s">
        <v>308</v>
      </c>
      <c r="B225" t="s">
        <v>531</v>
      </c>
      <c r="C225" t="s">
        <v>627</v>
      </c>
      <c r="D225" t="s">
        <v>628</v>
      </c>
      <c r="E225" t="s">
        <v>28</v>
      </c>
      <c r="F225" t="str">
        <f t="shared" si="3"/>
        <v>090208-二手笔记本--5</v>
      </c>
      <c r="H225">
        <v>5</v>
      </c>
      <c r="I225" t="s">
        <v>36</v>
      </c>
      <c r="J225" t="s">
        <v>308</v>
      </c>
      <c r="K225" s="5">
        <v>45658</v>
      </c>
      <c r="L225" t="s">
        <v>419</v>
      </c>
      <c r="M225">
        <v>36</v>
      </c>
      <c r="N225">
        <v>1</v>
      </c>
      <c r="P225" s="7">
        <v>4140</v>
      </c>
      <c r="Q225" s="7">
        <v>0</v>
      </c>
      <c r="R225" s="7">
        <v>4140</v>
      </c>
      <c r="S225" s="7">
        <v>414</v>
      </c>
      <c r="T225" s="7">
        <v>0</v>
      </c>
      <c r="U225" t="s">
        <v>308</v>
      </c>
      <c r="V225" s="7">
        <v>0</v>
      </c>
      <c r="W225">
        <v>160105</v>
      </c>
      <c r="X225">
        <v>160205</v>
      </c>
      <c r="Y225">
        <v>410102</v>
      </c>
    </row>
    <row r="226" spans="1:25">
      <c r="A226" t="s">
        <v>308</v>
      </c>
      <c r="B226" t="s">
        <v>531</v>
      </c>
      <c r="C226" t="s">
        <v>629</v>
      </c>
      <c r="D226" t="s">
        <v>594</v>
      </c>
      <c r="E226" t="s">
        <v>28</v>
      </c>
      <c r="F226" t="str">
        <f t="shared" si="3"/>
        <v>090209-电脑--1</v>
      </c>
      <c r="H226">
        <v>1</v>
      </c>
      <c r="I226" t="s">
        <v>36</v>
      </c>
      <c r="J226" t="s">
        <v>308</v>
      </c>
      <c r="K226" s="5">
        <v>45658</v>
      </c>
      <c r="L226" t="s">
        <v>419</v>
      </c>
      <c r="M226">
        <v>36</v>
      </c>
      <c r="N226">
        <v>1</v>
      </c>
      <c r="P226" s="7">
        <v>3274.34</v>
      </c>
      <c r="Q226" s="7">
        <v>0</v>
      </c>
      <c r="R226" s="7">
        <v>3274.34</v>
      </c>
      <c r="S226" s="7">
        <v>327.43</v>
      </c>
      <c r="T226" s="7">
        <v>0</v>
      </c>
      <c r="U226" t="s">
        <v>308</v>
      </c>
      <c r="V226" s="7">
        <v>0</v>
      </c>
      <c r="W226">
        <v>160105</v>
      </c>
      <c r="X226">
        <v>160205</v>
      </c>
      <c r="Y226">
        <v>410102</v>
      </c>
    </row>
    <row r="227" spans="1:25">
      <c r="A227" t="s">
        <v>308</v>
      </c>
      <c r="B227" t="s">
        <v>531</v>
      </c>
      <c r="C227" t="s">
        <v>630</v>
      </c>
      <c r="D227" t="s">
        <v>628</v>
      </c>
      <c r="E227" t="s">
        <v>28</v>
      </c>
      <c r="F227" t="str">
        <f t="shared" si="3"/>
        <v>090210-二手笔记本--1</v>
      </c>
      <c r="H227">
        <v>1</v>
      </c>
      <c r="I227" t="s">
        <v>36</v>
      </c>
      <c r="J227" t="s">
        <v>308</v>
      </c>
      <c r="K227" s="5">
        <v>45658</v>
      </c>
      <c r="L227" t="s">
        <v>419</v>
      </c>
      <c r="M227">
        <v>36</v>
      </c>
      <c r="N227">
        <v>1</v>
      </c>
      <c r="P227" s="7">
        <v>4440</v>
      </c>
      <c r="Q227" s="7">
        <v>0</v>
      </c>
      <c r="R227" s="7">
        <v>4440</v>
      </c>
      <c r="S227" s="7">
        <v>444</v>
      </c>
      <c r="T227" s="7">
        <v>0</v>
      </c>
      <c r="U227" t="s">
        <v>308</v>
      </c>
      <c r="V227" s="7">
        <v>0</v>
      </c>
      <c r="W227">
        <v>160105</v>
      </c>
      <c r="X227">
        <v>160205</v>
      </c>
      <c r="Y227">
        <v>410102</v>
      </c>
    </row>
    <row r="228" spans="11:11">
      <c r="K228" s="5"/>
    </row>
  </sheetData>
  <autoFilter xmlns:etc="http://www.wps.cn/officeDocument/2017/etCustomData" ref="A1:Y227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卡片管理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</cp:lastModifiedBy>
  <dcterms:created xsi:type="dcterms:W3CDTF">2025-02-14T04:50:00Z</dcterms:created>
  <dcterms:modified xsi:type="dcterms:W3CDTF">2025-02-27T03:09:21Z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C59194938113407F98D2BD4CDF97992B_12</vt:lpwstr>
  </property>
  <property fmtid="{D5CDD505-2E9C-101B-9397-08002B2CF9AE}" pid="3" name="KSOProductBuildVer">
    <vt:lpwstr>2052-12.1.0.20305</vt:lpwstr>
  </property>
</Properties>
</file>