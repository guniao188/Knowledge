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codeName="ThisWorkbook" defaultThemeVersion="124226"/>
  <xr:revisionPtr revIDLastSave="0" documentId="13_ncr:1_{632FB64F-1E7E-4D0E-863A-367E267343DD}" xr6:coauthVersionLast="46" xr6:coauthVersionMax="46" xr10:uidLastSave="{00000000-0000-0000-0000-000000000000}"/>
  <bookViews>
    <workbookView xWindow="-120" yWindow="-120" windowWidth="29040" windowHeight="15840" tabRatio="732" xr2:uid="{00000000-000D-0000-FFFF-FFFF00000000}"/>
  </bookViews>
  <sheets>
    <sheet name="INVOICE" sheetId="45" r:id="rId1"/>
    <sheet name="PACKING LIST " sheetId="47" r:id="rId2"/>
  </sheets>
  <definedNames>
    <definedName name="_xlnm._FilterDatabase" localSheetId="1" hidden="1">'PACKING LIST '!$A$17:$AH$374</definedName>
    <definedName name="_xlnm.Print_Titles" localSheetId="0">INVOICE!$1:$15</definedName>
    <definedName name="_xlnm.Print_Titles" localSheetId="1">'PACKING LIST '!$1:$15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4" i="45" l="1"/>
  <c r="P19" i="45"/>
  <c r="W18" i="45"/>
  <c r="V376" i="47" l="1"/>
  <c r="X376" i="47"/>
  <c r="X377" i="47" s="1"/>
  <c r="Z376" i="47"/>
  <c r="AB376" i="47"/>
  <c r="AB377" i="47" s="1"/>
  <c r="V199" i="47"/>
  <c r="V377" i="47" s="1"/>
  <c r="X199" i="47"/>
  <c r="Z199" i="47"/>
  <c r="AB199" i="47"/>
  <c r="AH375" i="47"/>
  <c r="AG375" i="47"/>
  <c r="U375" i="47"/>
  <c r="AH341" i="47"/>
  <c r="AG341" i="47"/>
  <c r="U341" i="47"/>
  <c r="AH326" i="47"/>
  <c r="AG326" i="47"/>
  <c r="U326" i="47"/>
  <c r="AH299" i="47"/>
  <c r="AG299" i="47"/>
  <c r="U299" i="47"/>
  <c r="AH198" i="47"/>
  <c r="AG198" i="47"/>
  <c r="U198" i="47"/>
  <c r="AH171" i="47"/>
  <c r="AG171" i="47"/>
  <c r="U171" i="47"/>
  <c r="AH153" i="47"/>
  <c r="AG153" i="47"/>
  <c r="U153" i="47"/>
  <c r="AH126" i="47"/>
  <c r="AG126" i="47"/>
  <c r="U126" i="47"/>
  <c r="AH284" i="47"/>
  <c r="AG284" i="47"/>
  <c r="U284" i="47"/>
  <c r="AH281" i="47"/>
  <c r="AG281" i="47"/>
  <c r="U281" i="47"/>
  <c r="AH279" i="47"/>
  <c r="AG279" i="47"/>
  <c r="U279" i="47"/>
  <c r="AH277" i="47"/>
  <c r="AG277" i="47"/>
  <c r="U277" i="47"/>
  <c r="AH274" i="47"/>
  <c r="AG274" i="47"/>
  <c r="U274" i="47"/>
  <c r="AH272" i="47"/>
  <c r="AG272" i="47"/>
  <c r="U272" i="47"/>
  <c r="AH270" i="47"/>
  <c r="AG270" i="47"/>
  <c r="U270" i="47"/>
  <c r="AH255" i="47"/>
  <c r="AG255" i="47"/>
  <c r="U255" i="47"/>
  <c r="AH244" i="47"/>
  <c r="AG244" i="47"/>
  <c r="U244" i="47"/>
  <c r="AH228" i="47"/>
  <c r="AG228" i="47"/>
  <c r="U228" i="47"/>
  <c r="AH216" i="47"/>
  <c r="AG216" i="47"/>
  <c r="U216" i="47"/>
  <c r="AH210" i="47"/>
  <c r="AG210" i="47"/>
  <c r="U210" i="47"/>
  <c r="AH206" i="47"/>
  <c r="AG206" i="47"/>
  <c r="U206" i="47"/>
  <c r="AH111" i="47"/>
  <c r="AG111" i="47"/>
  <c r="U111" i="47"/>
  <c r="AH106" i="47"/>
  <c r="AG106" i="47"/>
  <c r="U106" i="47"/>
  <c r="AH101" i="47"/>
  <c r="AG101" i="47"/>
  <c r="U101" i="47"/>
  <c r="AH97" i="47"/>
  <c r="AG97" i="47"/>
  <c r="U97" i="47"/>
  <c r="AH84" i="47"/>
  <c r="AG84" i="47"/>
  <c r="U84" i="47"/>
  <c r="AH70" i="47"/>
  <c r="AG70" i="47"/>
  <c r="U70" i="47"/>
  <c r="AH57" i="47"/>
  <c r="AG57" i="47"/>
  <c r="U57" i="47"/>
  <c r="AH45" i="47"/>
  <c r="AG45" i="47"/>
  <c r="U45" i="47"/>
  <c r="AH40" i="47"/>
  <c r="AG40" i="47"/>
  <c r="U40" i="47"/>
  <c r="AH36" i="47"/>
  <c r="AG36" i="47"/>
  <c r="U36" i="47"/>
  <c r="AH31" i="47"/>
  <c r="AG31" i="47"/>
  <c r="U31" i="47"/>
  <c r="AH26" i="47"/>
  <c r="AG26" i="47"/>
  <c r="U26" i="47"/>
  <c r="AH21" i="47"/>
  <c r="AG21" i="47"/>
  <c r="U21" i="47"/>
  <c r="AG199" i="47" l="1"/>
  <c r="AH376" i="47"/>
  <c r="AH199" i="47"/>
  <c r="AG376" i="47"/>
  <c r="AG377" i="47" s="1"/>
  <c r="Z377" i="47"/>
  <c r="AG133" i="45"/>
  <c r="AH133" i="45" s="1"/>
  <c r="X133" i="45"/>
  <c r="Y133" i="45" s="1"/>
  <c r="V133" i="45"/>
  <c r="W133" i="45" s="1"/>
  <c r="N133" i="45"/>
  <c r="L133" i="45"/>
  <c r="A133" i="45"/>
  <c r="AH132" i="45"/>
  <c r="A132" i="45"/>
  <c r="AG131" i="45"/>
  <c r="AH131" i="45" s="1"/>
  <c r="X131" i="45"/>
  <c r="Y131" i="45" s="1"/>
  <c r="V131" i="45"/>
  <c r="W131" i="45" s="1"/>
  <c r="N131" i="45"/>
  <c r="L131" i="45"/>
  <c r="A131" i="45"/>
  <c r="AH130" i="45"/>
  <c r="A130" i="45"/>
  <c r="AG129" i="45"/>
  <c r="AF129" i="45" s="1"/>
  <c r="X129" i="45"/>
  <c r="Y129" i="45" s="1"/>
  <c r="V129" i="45"/>
  <c r="Z129" i="45" s="1"/>
  <c r="AA129" i="45" s="1"/>
  <c r="N129" i="45"/>
  <c r="L129" i="45"/>
  <c r="A129" i="45"/>
  <c r="AH128" i="45"/>
  <c r="A128" i="45"/>
  <c r="N127" i="45"/>
  <c r="K127" i="45"/>
  <c r="AG127" i="45" s="1"/>
  <c r="A127" i="45"/>
  <c r="R126" i="45"/>
  <c r="R127" i="45" s="1"/>
  <c r="Q126" i="45"/>
  <c r="Q127" i="45" s="1"/>
  <c r="P126" i="45"/>
  <c r="N126" i="45"/>
  <c r="K126" i="45"/>
  <c r="V126" i="45" s="1"/>
  <c r="Z126" i="45" s="1"/>
  <c r="A126" i="45"/>
  <c r="AG125" i="45"/>
  <c r="X125" i="45"/>
  <c r="V125" i="45"/>
  <c r="Z125" i="45" s="1"/>
  <c r="U125" i="45"/>
  <c r="N125" i="45"/>
  <c r="L125" i="45"/>
  <c r="A125" i="45"/>
  <c r="AH124" i="45"/>
  <c r="A124" i="45"/>
  <c r="N123" i="45"/>
  <c r="K123" i="45"/>
  <c r="A123" i="45"/>
  <c r="R122" i="45"/>
  <c r="R123" i="45" s="1"/>
  <c r="Q122" i="45"/>
  <c r="Q123" i="45" s="1"/>
  <c r="P122" i="45"/>
  <c r="N122" i="45"/>
  <c r="K122" i="45"/>
  <c r="L122" i="45" s="1"/>
  <c r="A122" i="45"/>
  <c r="AG121" i="45"/>
  <c r="X121" i="45"/>
  <c r="V121" i="45"/>
  <c r="Z121" i="45" s="1"/>
  <c r="U121" i="45"/>
  <c r="AH121" i="45" s="1"/>
  <c r="N121" i="45"/>
  <c r="L121" i="45"/>
  <c r="A121" i="45"/>
  <c r="AH120" i="45"/>
  <c r="A120" i="45"/>
  <c r="AG119" i="45"/>
  <c r="AF119" i="45" s="1"/>
  <c r="X119" i="45"/>
  <c r="V119" i="45"/>
  <c r="Z119" i="45" s="1"/>
  <c r="U119" i="45"/>
  <c r="N119" i="45"/>
  <c r="L119" i="45"/>
  <c r="A119" i="45"/>
  <c r="AH118" i="45"/>
  <c r="A118" i="45"/>
  <c r="T117" i="45"/>
  <c r="S117" i="45"/>
  <c r="R117" i="45"/>
  <c r="Q117" i="45"/>
  <c r="P117" i="45"/>
  <c r="N117" i="45"/>
  <c r="K117" i="45"/>
  <c r="A117" i="45"/>
  <c r="AG116" i="45"/>
  <c r="X116" i="45"/>
  <c r="V116" i="45"/>
  <c r="Z116" i="45" s="1"/>
  <c r="U116" i="45"/>
  <c r="N116" i="45"/>
  <c r="L116" i="45"/>
  <c r="A116" i="45"/>
  <c r="AH115" i="45"/>
  <c r="A115" i="45"/>
  <c r="N114" i="45"/>
  <c r="K114" i="45"/>
  <c r="AG114" i="45" s="1"/>
  <c r="A114" i="45"/>
  <c r="T113" i="45"/>
  <c r="T114" i="45" s="1"/>
  <c r="S113" i="45"/>
  <c r="S114" i="45" s="1"/>
  <c r="R113" i="45"/>
  <c r="R114" i="45" s="1"/>
  <c r="Q113" i="45"/>
  <c r="Q114" i="45" s="1"/>
  <c r="P113" i="45"/>
  <c r="P114" i="45" s="1"/>
  <c r="N113" i="45"/>
  <c r="K113" i="45"/>
  <c r="X113" i="45" s="1"/>
  <c r="A113" i="45"/>
  <c r="AG112" i="45"/>
  <c r="X112" i="45"/>
  <c r="V112" i="45"/>
  <c r="Z112" i="45" s="1"/>
  <c r="U112" i="45"/>
  <c r="Y112" i="45" s="1"/>
  <c r="N112" i="45"/>
  <c r="L112" i="45"/>
  <c r="A112" i="45"/>
  <c r="AH111" i="45"/>
  <c r="A111" i="45"/>
  <c r="N110" i="45"/>
  <c r="K110" i="45"/>
  <c r="V110" i="45" s="1"/>
  <c r="A110" i="45"/>
  <c r="S109" i="45"/>
  <c r="S110" i="45" s="1"/>
  <c r="R109" i="45"/>
  <c r="R110" i="45" s="1"/>
  <c r="Q109" i="45"/>
  <c r="Q110" i="45" s="1"/>
  <c r="P109" i="45"/>
  <c r="P110" i="45" s="1"/>
  <c r="N109" i="45"/>
  <c r="K109" i="45"/>
  <c r="V109" i="45" s="1"/>
  <c r="A109" i="45"/>
  <c r="AG108" i="45"/>
  <c r="X108" i="45"/>
  <c r="V108" i="45"/>
  <c r="Z108" i="45" s="1"/>
  <c r="U108" i="45"/>
  <c r="N108" i="45"/>
  <c r="L108" i="45"/>
  <c r="A108" i="45"/>
  <c r="AH107" i="45"/>
  <c r="A107" i="45"/>
  <c r="N106" i="45"/>
  <c r="K106" i="45"/>
  <c r="V106" i="45" s="1"/>
  <c r="Z106" i="45" s="1"/>
  <c r="A106" i="45"/>
  <c r="S105" i="45"/>
  <c r="S106" i="45" s="1"/>
  <c r="R105" i="45"/>
  <c r="R106" i="45" s="1"/>
  <c r="Q105" i="45"/>
  <c r="Q106" i="45" s="1"/>
  <c r="P105" i="45"/>
  <c r="N105" i="45"/>
  <c r="K105" i="45"/>
  <c r="A105" i="45"/>
  <c r="AG104" i="45"/>
  <c r="X104" i="45"/>
  <c r="V104" i="45"/>
  <c r="U104" i="45"/>
  <c r="N104" i="45"/>
  <c r="L104" i="45"/>
  <c r="A104" i="45"/>
  <c r="AH103" i="45"/>
  <c r="A103" i="45"/>
  <c r="AG102" i="45"/>
  <c r="AF102" i="45" s="1"/>
  <c r="X102" i="45"/>
  <c r="Y102" i="45" s="1"/>
  <c r="V102" i="45"/>
  <c r="U102" i="45"/>
  <c r="N102" i="45"/>
  <c r="L102" i="45"/>
  <c r="A102" i="45"/>
  <c r="AH101" i="45"/>
  <c r="A101" i="45"/>
  <c r="N100" i="45"/>
  <c r="K100" i="45"/>
  <c r="V100" i="45" s="1"/>
  <c r="Z100" i="45" s="1"/>
  <c r="A100" i="45"/>
  <c r="AG99" i="45"/>
  <c r="T99" i="45"/>
  <c r="T100" i="45" s="1"/>
  <c r="S99" i="45"/>
  <c r="S100" i="45" s="1"/>
  <c r="R99" i="45"/>
  <c r="R100" i="45" s="1"/>
  <c r="Q99" i="45"/>
  <c r="Q100" i="45" s="1"/>
  <c r="P99" i="45"/>
  <c r="P100" i="45" s="1"/>
  <c r="N99" i="45"/>
  <c r="K99" i="45"/>
  <c r="X99" i="45" s="1"/>
  <c r="A99" i="45"/>
  <c r="AG98" i="45"/>
  <c r="X98" i="45"/>
  <c r="V98" i="45"/>
  <c r="Z98" i="45" s="1"/>
  <c r="U98" i="45"/>
  <c r="N98" i="45"/>
  <c r="L98" i="45"/>
  <c r="A98" i="45"/>
  <c r="AH97" i="45"/>
  <c r="A97" i="45"/>
  <c r="AG96" i="45"/>
  <c r="AF96" i="45" s="1"/>
  <c r="X96" i="45"/>
  <c r="V96" i="45"/>
  <c r="Z96" i="45" s="1"/>
  <c r="U96" i="45"/>
  <c r="AH96" i="45" s="1"/>
  <c r="N96" i="45"/>
  <c r="L96" i="45"/>
  <c r="A96" i="45"/>
  <c r="AH95" i="45"/>
  <c r="A95" i="45"/>
  <c r="N94" i="45"/>
  <c r="K94" i="45"/>
  <c r="A94" i="45"/>
  <c r="S93" i="45"/>
  <c r="S94" i="45" s="1"/>
  <c r="R93" i="45"/>
  <c r="R94" i="45" s="1"/>
  <c r="Q93" i="45"/>
  <c r="Q94" i="45" s="1"/>
  <c r="P93" i="45"/>
  <c r="P94" i="45" s="1"/>
  <c r="N93" i="45"/>
  <c r="K93" i="45"/>
  <c r="V93" i="45" s="1"/>
  <c r="Z93" i="45" s="1"/>
  <c r="A93" i="45"/>
  <c r="AG92" i="45"/>
  <c r="X92" i="45"/>
  <c r="V92" i="45"/>
  <c r="Z92" i="45" s="1"/>
  <c r="U92" i="45"/>
  <c r="N92" i="45"/>
  <c r="L92" i="45"/>
  <c r="A92" i="45"/>
  <c r="AH91" i="45"/>
  <c r="A91" i="45"/>
  <c r="AG90" i="45"/>
  <c r="AF90" i="45" s="1"/>
  <c r="X90" i="45"/>
  <c r="V90" i="45"/>
  <c r="U90" i="45"/>
  <c r="N90" i="45"/>
  <c r="L90" i="45"/>
  <c r="A90" i="45"/>
  <c r="AH89" i="45"/>
  <c r="A89" i="45"/>
  <c r="N88" i="45"/>
  <c r="K88" i="45"/>
  <c r="X88" i="45" s="1"/>
  <c r="A88" i="45"/>
  <c r="S87" i="45"/>
  <c r="S88" i="45" s="1"/>
  <c r="R87" i="45"/>
  <c r="R88" i="45" s="1"/>
  <c r="Q87" i="45"/>
  <c r="Q88" i="45" s="1"/>
  <c r="P87" i="45"/>
  <c r="P88" i="45" s="1"/>
  <c r="N87" i="45"/>
  <c r="K87" i="45"/>
  <c r="V87" i="45" s="1"/>
  <c r="A87" i="45"/>
  <c r="AG86" i="45"/>
  <c r="X86" i="45"/>
  <c r="V86" i="45"/>
  <c r="Z86" i="45" s="1"/>
  <c r="AA86" i="45" s="1"/>
  <c r="U86" i="45"/>
  <c r="AH86" i="45" s="1"/>
  <c r="N86" i="45"/>
  <c r="L86" i="45"/>
  <c r="A86" i="45"/>
  <c r="AH85" i="45"/>
  <c r="A85" i="45"/>
  <c r="AG84" i="45"/>
  <c r="AF84" i="45" s="1"/>
  <c r="X84" i="45"/>
  <c r="V84" i="45"/>
  <c r="Z84" i="45" s="1"/>
  <c r="U84" i="45"/>
  <c r="N84" i="45"/>
  <c r="L84" i="45"/>
  <c r="A84" i="45"/>
  <c r="AH83" i="45"/>
  <c r="A83" i="45"/>
  <c r="N82" i="45"/>
  <c r="K82" i="45"/>
  <c r="V82" i="45" s="1"/>
  <c r="Z82" i="45" s="1"/>
  <c r="A82" i="45"/>
  <c r="S81" i="45"/>
  <c r="S82" i="45" s="1"/>
  <c r="R81" i="45"/>
  <c r="R82" i="45" s="1"/>
  <c r="Q81" i="45"/>
  <c r="Q82" i="45" s="1"/>
  <c r="P81" i="45"/>
  <c r="P82" i="45" s="1"/>
  <c r="N81" i="45"/>
  <c r="K81" i="45"/>
  <c r="X81" i="45" s="1"/>
  <c r="A81" i="45"/>
  <c r="AG80" i="45"/>
  <c r="X80" i="45"/>
  <c r="V80" i="45"/>
  <c r="U80" i="45"/>
  <c r="N80" i="45"/>
  <c r="L80" i="45"/>
  <c r="A80" i="45"/>
  <c r="AH79" i="45"/>
  <c r="A79" i="45"/>
  <c r="N78" i="45"/>
  <c r="K78" i="45"/>
  <c r="V78" i="45" s="1"/>
  <c r="A78" i="45"/>
  <c r="T77" i="45"/>
  <c r="T78" i="45" s="1"/>
  <c r="Q77" i="45"/>
  <c r="N77" i="45"/>
  <c r="K77" i="45"/>
  <c r="AG77" i="45" s="1"/>
  <c r="A77" i="45"/>
  <c r="AG76" i="45"/>
  <c r="X76" i="45"/>
  <c r="V76" i="45"/>
  <c r="Z76" i="45" s="1"/>
  <c r="U76" i="45"/>
  <c r="N76" i="45"/>
  <c r="L76" i="45"/>
  <c r="A76" i="45"/>
  <c r="AH75" i="45"/>
  <c r="A75" i="45"/>
  <c r="N74" i="45"/>
  <c r="K74" i="45"/>
  <c r="V74" i="45" s="1"/>
  <c r="Z74" i="45" s="1"/>
  <c r="A74" i="45"/>
  <c r="S73" i="45"/>
  <c r="S74" i="45" s="1"/>
  <c r="R73" i="45"/>
  <c r="R74" i="45" s="1"/>
  <c r="Q73" i="45"/>
  <c r="Q74" i="45" s="1"/>
  <c r="P73" i="45"/>
  <c r="P74" i="45" s="1"/>
  <c r="N73" i="45"/>
  <c r="K73" i="45"/>
  <c r="AG73" i="45" s="1"/>
  <c r="A73" i="45"/>
  <c r="AG72" i="45"/>
  <c r="X72" i="45"/>
  <c r="V72" i="45"/>
  <c r="U72" i="45"/>
  <c r="N72" i="45"/>
  <c r="L72" i="45"/>
  <c r="A72" i="45"/>
  <c r="AH71" i="45"/>
  <c r="A71" i="45"/>
  <c r="N70" i="45"/>
  <c r="K70" i="45"/>
  <c r="A70" i="45"/>
  <c r="S69" i="45"/>
  <c r="S70" i="45" s="1"/>
  <c r="R69" i="45"/>
  <c r="R70" i="45" s="1"/>
  <c r="Q69" i="45"/>
  <c r="Q70" i="45" s="1"/>
  <c r="P69" i="45"/>
  <c r="P70" i="45" s="1"/>
  <c r="N69" i="45"/>
  <c r="K69" i="45"/>
  <c r="V69" i="45" s="1"/>
  <c r="Z69" i="45" s="1"/>
  <c r="A69" i="45"/>
  <c r="AG68" i="45"/>
  <c r="X68" i="45"/>
  <c r="V68" i="45"/>
  <c r="Z68" i="45" s="1"/>
  <c r="U68" i="45"/>
  <c r="N68" i="45"/>
  <c r="L68" i="45"/>
  <c r="A68" i="45"/>
  <c r="AH67" i="45"/>
  <c r="A67" i="45"/>
  <c r="AG66" i="45"/>
  <c r="AF66" i="45" s="1"/>
  <c r="X66" i="45"/>
  <c r="Y66" i="45" s="1"/>
  <c r="V66" i="45"/>
  <c r="W66" i="45" s="1"/>
  <c r="N66" i="45"/>
  <c r="L66" i="45"/>
  <c r="A66" i="45"/>
  <c r="AH65" i="45"/>
  <c r="A65" i="45"/>
  <c r="AG64" i="45"/>
  <c r="AH64" i="45" s="1"/>
  <c r="X64" i="45"/>
  <c r="Y64" i="45" s="1"/>
  <c r="V64" i="45"/>
  <c r="W64" i="45" s="1"/>
  <c r="N64" i="45"/>
  <c r="L64" i="45"/>
  <c r="A64" i="45"/>
  <c r="AH63" i="45"/>
  <c r="A63" i="45"/>
  <c r="AG62" i="45"/>
  <c r="X62" i="45"/>
  <c r="V62" i="45"/>
  <c r="Z62" i="45" s="1"/>
  <c r="N62" i="45"/>
  <c r="L62" i="45"/>
  <c r="A62" i="45"/>
  <c r="AG61" i="45"/>
  <c r="X61" i="45"/>
  <c r="V61" i="45"/>
  <c r="Z61" i="45" s="1"/>
  <c r="N61" i="45"/>
  <c r="L61" i="45"/>
  <c r="A61" i="45"/>
  <c r="AG60" i="45"/>
  <c r="X60" i="45"/>
  <c r="V60" i="45"/>
  <c r="Z60" i="45" s="1"/>
  <c r="R60" i="45"/>
  <c r="R61" i="45" s="1"/>
  <c r="R62" i="45" s="1"/>
  <c r="Q60" i="45"/>
  <c r="Q61" i="45" s="1"/>
  <c r="Q62" i="45" s="1"/>
  <c r="P60" i="45"/>
  <c r="P61" i="45" s="1"/>
  <c r="N60" i="45"/>
  <c r="L60" i="45"/>
  <c r="A60" i="45"/>
  <c r="AG59" i="45"/>
  <c r="V59" i="45"/>
  <c r="U59" i="45"/>
  <c r="N59" i="45"/>
  <c r="L59" i="45"/>
  <c r="A59" i="45"/>
  <c r="AH58" i="45"/>
  <c r="A58" i="45"/>
  <c r="AG57" i="45"/>
  <c r="X57" i="45"/>
  <c r="V57" i="45"/>
  <c r="N57" i="45"/>
  <c r="L57" i="45"/>
  <c r="A57" i="45"/>
  <c r="AG56" i="45"/>
  <c r="X56" i="45"/>
  <c r="V56" i="45"/>
  <c r="Z56" i="45" s="1"/>
  <c r="N56" i="45"/>
  <c r="L56" i="45"/>
  <c r="A56" i="45"/>
  <c r="AG55" i="45"/>
  <c r="X55" i="45"/>
  <c r="V55" i="45"/>
  <c r="Z55" i="45" s="1"/>
  <c r="N55" i="45"/>
  <c r="L55" i="45"/>
  <c r="A55" i="45"/>
  <c r="AG54" i="45"/>
  <c r="X54" i="45"/>
  <c r="V54" i="45"/>
  <c r="Z54" i="45" s="1"/>
  <c r="T54" i="45"/>
  <c r="T55" i="45" s="1"/>
  <c r="T56" i="45" s="1"/>
  <c r="T57" i="45" s="1"/>
  <c r="S54" i="45"/>
  <c r="S55" i="45" s="1"/>
  <c r="S56" i="45" s="1"/>
  <c r="S57" i="45" s="1"/>
  <c r="R54" i="45"/>
  <c r="R55" i="45" s="1"/>
  <c r="R56" i="45" s="1"/>
  <c r="R57" i="45" s="1"/>
  <c r="Q54" i="45"/>
  <c r="Q55" i="45" s="1"/>
  <c r="Q56" i="45" s="1"/>
  <c r="Q57" i="45" s="1"/>
  <c r="P54" i="45"/>
  <c r="P55" i="45" s="1"/>
  <c r="N54" i="45"/>
  <c r="L54" i="45"/>
  <c r="A54" i="45"/>
  <c r="AG53" i="45"/>
  <c r="V53" i="45"/>
  <c r="U53" i="45"/>
  <c r="Y53" i="45" s="1"/>
  <c r="N53" i="45"/>
  <c r="L53" i="45"/>
  <c r="A53" i="45"/>
  <c r="AH52" i="45"/>
  <c r="A52" i="45"/>
  <c r="AG51" i="45"/>
  <c r="X51" i="45"/>
  <c r="V51" i="45"/>
  <c r="N51" i="45"/>
  <c r="L51" i="45"/>
  <c r="A51" i="45"/>
  <c r="AG50" i="45"/>
  <c r="X50" i="45"/>
  <c r="V50" i="45"/>
  <c r="Z50" i="45" s="1"/>
  <c r="P50" i="45"/>
  <c r="P51" i="45" s="1"/>
  <c r="N50" i="45"/>
  <c r="L50" i="45"/>
  <c r="A50" i="45"/>
  <c r="AG49" i="45"/>
  <c r="X49" i="45"/>
  <c r="V49" i="45"/>
  <c r="Z49" i="45" s="1"/>
  <c r="S49" i="45"/>
  <c r="S50" i="45" s="1"/>
  <c r="S51" i="45" s="1"/>
  <c r="R49" i="45"/>
  <c r="R50" i="45" s="1"/>
  <c r="R51" i="45" s="1"/>
  <c r="Q49" i="45"/>
  <c r="Q50" i="45" s="1"/>
  <c r="Q51" i="45" s="1"/>
  <c r="P49" i="45"/>
  <c r="N49" i="45"/>
  <c r="L49" i="45"/>
  <c r="A49" i="45"/>
  <c r="AG48" i="45"/>
  <c r="V48" i="45"/>
  <c r="U48" i="45"/>
  <c r="Y48" i="45" s="1"/>
  <c r="N48" i="45"/>
  <c r="L48" i="45"/>
  <c r="A48" i="45"/>
  <c r="AH47" i="45"/>
  <c r="A47" i="45"/>
  <c r="AG46" i="45"/>
  <c r="X46" i="45"/>
  <c r="V46" i="45"/>
  <c r="Z46" i="45" s="1"/>
  <c r="N46" i="45"/>
  <c r="L46" i="45"/>
  <c r="A46" i="45"/>
  <c r="AG45" i="45"/>
  <c r="X45" i="45"/>
  <c r="V45" i="45"/>
  <c r="Z45" i="45" s="1"/>
  <c r="T45" i="45"/>
  <c r="T46" i="45" s="1"/>
  <c r="S45" i="45"/>
  <c r="S46" i="45" s="1"/>
  <c r="R45" i="45"/>
  <c r="R46" i="45" s="1"/>
  <c r="Q45" i="45"/>
  <c r="Q46" i="45" s="1"/>
  <c r="P45" i="45"/>
  <c r="P46" i="45" s="1"/>
  <c r="N45" i="45"/>
  <c r="L45" i="45"/>
  <c r="A45" i="45"/>
  <c r="AG44" i="45"/>
  <c r="V44" i="45"/>
  <c r="U44" i="45"/>
  <c r="Y44" i="45" s="1"/>
  <c r="N44" i="45"/>
  <c r="L44" i="45"/>
  <c r="A44" i="45"/>
  <c r="AH43" i="45"/>
  <c r="A43" i="45"/>
  <c r="AG42" i="45"/>
  <c r="X42" i="45"/>
  <c r="V42" i="45"/>
  <c r="Z42" i="45" s="1"/>
  <c r="N42" i="45"/>
  <c r="L42" i="45"/>
  <c r="A42" i="45"/>
  <c r="AG41" i="45"/>
  <c r="X41" i="45"/>
  <c r="V41" i="45"/>
  <c r="Z41" i="45" s="1"/>
  <c r="S41" i="45"/>
  <c r="S42" i="45" s="1"/>
  <c r="R41" i="45"/>
  <c r="R42" i="45" s="1"/>
  <c r="Q41" i="45"/>
  <c r="Q42" i="45" s="1"/>
  <c r="P41" i="45"/>
  <c r="P42" i="45" s="1"/>
  <c r="N41" i="45"/>
  <c r="L41" i="45"/>
  <c r="A41" i="45"/>
  <c r="AG40" i="45"/>
  <c r="V40" i="45"/>
  <c r="U40" i="45"/>
  <c r="N40" i="45"/>
  <c r="L40" i="45"/>
  <c r="A40" i="45"/>
  <c r="AH39" i="45"/>
  <c r="A39" i="45"/>
  <c r="AG38" i="45"/>
  <c r="X38" i="45"/>
  <c r="V38" i="45"/>
  <c r="N38" i="45"/>
  <c r="L38" i="45"/>
  <c r="A38" i="45"/>
  <c r="AG37" i="45"/>
  <c r="X37" i="45"/>
  <c r="V37" i="45"/>
  <c r="Z37" i="45" s="1"/>
  <c r="S37" i="45"/>
  <c r="S38" i="45" s="1"/>
  <c r="R37" i="45"/>
  <c r="R38" i="45" s="1"/>
  <c r="Q37" i="45"/>
  <c r="Q38" i="45" s="1"/>
  <c r="P37" i="45"/>
  <c r="N37" i="45"/>
  <c r="L37" i="45"/>
  <c r="A37" i="45"/>
  <c r="AG36" i="45"/>
  <c r="V36" i="45"/>
  <c r="U36" i="45"/>
  <c r="Y36" i="45" s="1"/>
  <c r="N36" i="45"/>
  <c r="L36" i="45"/>
  <c r="A36" i="45"/>
  <c r="AH35" i="45"/>
  <c r="A35" i="45"/>
  <c r="AG34" i="45"/>
  <c r="X34" i="45"/>
  <c r="V34" i="45"/>
  <c r="Z34" i="45" s="1"/>
  <c r="N34" i="45"/>
  <c r="L34" i="45"/>
  <c r="A34" i="45"/>
  <c r="AG33" i="45"/>
  <c r="X33" i="45"/>
  <c r="V33" i="45"/>
  <c r="Z33" i="45" s="1"/>
  <c r="S33" i="45"/>
  <c r="S34" i="45" s="1"/>
  <c r="R33" i="45"/>
  <c r="R34" i="45" s="1"/>
  <c r="Q33" i="45"/>
  <c r="Q34" i="45" s="1"/>
  <c r="P33" i="45"/>
  <c r="N33" i="45"/>
  <c r="L33" i="45"/>
  <c r="A33" i="45"/>
  <c r="AG32" i="45"/>
  <c r="V32" i="45"/>
  <c r="Z32" i="45" s="1"/>
  <c r="U32" i="45"/>
  <c r="N32" i="45"/>
  <c r="L32" i="45"/>
  <c r="A32" i="45"/>
  <c r="AH31" i="45"/>
  <c r="A31" i="45"/>
  <c r="AG30" i="45"/>
  <c r="X30" i="45"/>
  <c r="V30" i="45"/>
  <c r="Z30" i="45" s="1"/>
  <c r="N30" i="45"/>
  <c r="L30" i="45"/>
  <c r="A30" i="45"/>
  <c r="AG29" i="45"/>
  <c r="X29" i="45"/>
  <c r="V29" i="45"/>
  <c r="Z29" i="45" s="1"/>
  <c r="T29" i="45"/>
  <c r="T30" i="45" s="1"/>
  <c r="Q29" i="45"/>
  <c r="Q30" i="45" s="1"/>
  <c r="N29" i="45"/>
  <c r="L29" i="45"/>
  <c r="A29" i="45"/>
  <c r="AG28" i="45"/>
  <c r="V28" i="45"/>
  <c r="Z28" i="45" s="1"/>
  <c r="U28" i="45"/>
  <c r="Y28" i="45" s="1"/>
  <c r="N28" i="45"/>
  <c r="L28" i="45"/>
  <c r="A28" i="45"/>
  <c r="AH27" i="45"/>
  <c r="A27" i="45"/>
  <c r="AG26" i="45"/>
  <c r="X26" i="45"/>
  <c r="V26" i="45"/>
  <c r="Z26" i="45" s="1"/>
  <c r="N26" i="45"/>
  <c r="L26" i="45"/>
  <c r="A26" i="45"/>
  <c r="AG25" i="45"/>
  <c r="X25" i="45"/>
  <c r="V25" i="45"/>
  <c r="Z25" i="45" s="1"/>
  <c r="N25" i="45"/>
  <c r="L25" i="45"/>
  <c r="A25" i="45"/>
  <c r="AG24" i="45"/>
  <c r="X24" i="45"/>
  <c r="V24" i="45"/>
  <c r="Z24" i="45" s="1"/>
  <c r="S24" i="45"/>
  <c r="S25" i="45" s="1"/>
  <c r="S26" i="45" s="1"/>
  <c r="R24" i="45"/>
  <c r="R25" i="45" s="1"/>
  <c r="R26" i="45" s="1"/>
  <c r="Q24" i="45"/>
  <c r="Q25" i="45" s="1"/>
  <c r="Q26" i="45" s="1"/>
  <c r="N24" i="45"/>
  <c r="L24" i="45"/>
  <c r="A24" i="45"/>
  <c r="AG23" i="45"/>
  <c r="V23" i="45"/>
  <c r="Z23" i="45" s="1"/>
  <c r="U23" i="45"/>
  <c r="N23" i="45"/>
  <c r="L23" i="45"/>
  <c r="A23" i="45"/>
  <c r="AH22" i="45"/>
  <c r="A22" i="45"/>
  <c r="AG21" i="45"/>
  <c r="X21" i="45"/>
  <c r="V21" i="45"/>
  <c r="Z21" i="45" s="1"/>
  <c r="N21" i="45"/>
  <c r="L21" i="45"/>
  <c r="A21" i="45"/>
  <c r="AG20" i="45"/>
  <c r="X20" i="45"/>
  <c r="V20" i="45"/>
  <c r="Z20" i="45" s="1"/>
  <c r="N20" i="45"/>
  <c r="L20" i="45"/>
  <c r="A20" i="45"/>
  <c r="AG19" i="45"/>
  <c r="X19" i="45"/>
  <c r="V19" i="45"/>
  <c r="Z19" i="45" s="1"/>
  <c r="S19" i="45"/>
  <c r="S20" i="45" s="1"/>
  <c r="S21" i="45" s="1"/>
  <c r="R19" i="45"/>
  <c r="R20" i="45" s="1"/>
  <c r="R21" i="45" s="1"/>
  <c r="Q19" i="45"/>
  <c r="Q20" i="45" s="1"/>
  <c r="Q21" i="45" s="1"/>
  <c r="P20" i="45"/>
  <c r="N19" i="45"/>
  <c r="L19" i="45"/>
  <c r="A19" i="45"/>
  <c r="AG18" i="45"/>
  <c r="Y18" i="45"/>
  <c r="V18" i="45"/>
  <c r="Z18" i="45" s="1"/>
  <c r="AA18" i="45" s="1"/>
  <c r="U18" i="45"/>
  <c r="N18" i="45"/>
  <c r="L18" i="45"/>
  <c r="A18" i="45"/>
  <c r="AH17" i="45"/>
  <c r="A17" i="45"/>
  <c r="AF18" i="45" l="1"/>
  <c r="AH23" i="45"/>
  <c r="Y86" i="45"/>
  <c r="Y116" i="45"/>
  <c r="Y121" i="45"/>
  <c r="AF133" i="45"/>
  <c r="Y84" i="45"/>
  <c r="L114" i="45"/>
  <c r="Y119" i="45"/>
  <c r="AF53" i="45"/>
  <c r="AH72" i="45"/>
  <c r="AH108" i="45"/>
  <c r="V114" i="45"/>
  <c r="Z114" i="45" s="1"/>
  <c r="AA119" i="45"/>
  <c r="U122" i="45"/>
  <c r="W129" i="45"/>
  <c r="AH377" i="47"/>
  <c r="W86" i="45"/>
  <c r="X93" i="45"/>
  <c r="W102" i="45"/>
  <c r="L113" i="45"/>
  <c r="AA121" i="45"/>
  <c r="X126" i="45"/>
  <c r="W23" i="45"/>
  <c r="AF23" i="45"/>
  <c r="AF28" i="45"/>
  <c r="AH32" i="45"/>
  <c r="Y92" i="45"/>
  <c r="X100" i="45"/>
  <c r="U110" i="45"/>
  <c r="W110" i="45" s="1"/>
  <c r="Y23" i="45"/>
  <c r="AA32" i="45"/>
  <c r="AH59" i="45"/>
  <c r="X69" i="45"/>
  <c r="X73" i="45"/>
  <c r="L77" i="45"/>
  <c r="AH80" i="45"/>
  <c r="AH90" i="45"/>
  <c r="AG100" i="45"/>
  <c r="AF98" i="45" s="1"/>
  <c r="W104" i="45"/>
  <c r="X122" i="45"/>
  <c r="U126" i="45"/>
  <c r="AH129" i="45"/>
  <c r="AF131" i="45"/>
  <c r="Y125" i="45"/>
  <c r="X127" i="45"/>
  <c r="Y59" i="45"/>
  <c r="AF64" i="45"/>
  <c r="AA68" i="45"/>
  <c r="Y76" i="45"/>
  <c r="L82" i="45"/>
  <c r="AA92" i="45"/>
  <c r="Z104" i="45"/>
  <c r="AG113" i="45"/>
  <c r="AF112" i="45" s="1"/>
  <c r="AH119" i="45"/>
  <c r="W121" i="45"/>
  <c r="AA126" i="45"/>
  <c r="L127" i="45"/>
  <c r="X106" i="45"/>
  <c r="U60" i="45"/>
  <c r="Y60" i="45" s="1"/>
  <c r="AH66" i="45"/>
  <c r="W68" i="45"/>
  <c r="AG69" i="45"/>
  <c r="AF68" i="45" s="1"/>
  <c r="W72" i="45"/>
  <c r="L74" i="45"/>
  <c r="X74" i="45"/>
  <c r="AA76" i="45"/>
  <c r="W90" i="45"/>
  <c r="AG93" i="45"/>
  <c r="AA96" i="45"/>
  <c r="Y104" i="45"/>
  <c r="AA104" i="45"/>
  <c r="L106" i="45"/>
  <c r="AG106" i="45"/>
  <c r="AA112" i="45"/>
  <c r="AH116" i="45"/>
  <c r="W119" i="45"/>
  <c r="AG122" i="45"/>
  <c r="AH122" i="45" s="1"/>
  <c r="P123" i="45"/>
  <c r="U123" i="45" s="1"/>
  <c r="AA125" i="45"/>
  <c r="AG126" i="45"/>
  <c r="W28" i="45"/>
  <c r="AF36" i="45"/>
  <c r="AF59" i="45"/>
  <c r="Z66" i="45"/>
  <c r="AA66" i="45" s="1"/>
  <c r="L69" i="45"/>
  <c r="Y72" i="45"/>
  <c r="AG74" i="45"/>
  <c r="AF72" i="45" s="1"/>
  <c r="W80" i="45"/>
  <c r="L88" i="45"/>
  <c r="Y90" i="45"/>
  <c r="L93" i="45"/>
  <c r="W96" i="45"/>
  <c r="Y98" i="45"/>
  <c r="V99" i="45"/>
  <c r="Z99" i="45" s="1"/>
  <c r="L110" i="45"/>
  <c r="V113" i="45"/>
  <c r="Z113" i="45" s="1"/>
  <c r="X114" i="45"/>
  <c r="AA116" i="45"/>
  <c r="U117" i="45"/>
  <c r="L126" i="45"/>
  <c r="AA28" i="45"/>
  <c r="AH40" i="45"/>
  <c r="AH18" i="45"/>
  <c r="AA23" i="45"/>
  <c r="U24" i="45"/>
  <c r="AH24" i="45" s="1"/>
  <c r="AF32" i="45"/>
  <c r="Y40" i="45"/>
  <c r="AF44" i="45"/>
  <c r="Y80" i="45"/>
  <c r="U87" i="45"/>
  <c r="W87" i="45" s="1"/>
  <c r="W92" i="45"/>
  <c r="Y96" i="45"/>
  <c r="L99" i="45"/>
  <c r="L100" i="45"/>
  <c r="AH104" i="45"/>
  <c r="AF125" i="45"/>
  <c r="Y24" i="45"/>
  <c r="P21" i="45"/>
  <c r="U21" i="45" s="1"/>
  <c r="U20" i="45"/>
  <c r="Y20" i="45" s="1"/>
  <c r="U30" i="45"/>
  <c r="AA30" i="45" s="1"/>
  <c r="U19" i="45"/>
  <c r="AA19" i="45" s="1"/>
  <c r="W21" i="45"/>
  <c r="W24" i="45"/>
  <c r="P25" i="45"/>
  <c r="AH28" i="45"/>
  <c r="U29" i="45"/>
  <c r="W32" i="45"/>
  <c r="P34" i="45"/>
  <c r="U34" i="45" s="1"/>
  <c r="Y34" i="45" s="1"/>
  <c r="U33" i="45"/>
  <c r="W33" i="45" s="1"/>
  <c r="U45" i="45"/>
  <c r="U46" i="45"/>
  <c r="Y46" i="45" s="1"/>
  <c r="W48" i="45"/>
  <c r="Z48" i="45"/>
  <c r="AA48" i="45" s="1"/>
  <c r="U49" i="45"/>
  <c r="W49" i="45" s="1"/>
  <c r="U51" i="45"/>
  <c r="W51" i="45" s="1"/>
  <c r="Y32" i="45"/>
  <c r="AF40" i="45"/>
  <c r="Y49" i="45"/>
  <c r="Z59" i="45"/>
  <c r="AA59" i="45" s="1"/>
  <c r="W59" i="45"/>
  <c r="AH60" i="45"/>
  <c r="L70" i="45"/>
  <c r="AG70" i="45"/>
  <c r="X70" i="45"/>
  <c r="V70" i="45"/>
  <c r="AH76" i="45"/>
  <c r="W76" i="45"/>
  <c r="Z40" i="45"/>
  <c r="AA40" i="45" s="1"/>
  <c r="W40" i="45"/>
  <c r="AA49" i="45"/>
  <c r="W53" i="45"/>
  <c r="Z53" i="45"/>
  <c r="AA53" i="45" s="1"/>
  <c r="U54" i="45"/>
  <c r="AA54" i="45" s="1"/>
  <c r="P62" i="45"/>
  <c r="U62" i="45" s="1"/>
  <c r="U61" i="45"/>
  <c r="AA61" i="45" s="1"/>
  <c r="U74" i="45"/>
  <c r="Q78" i="45"/>
  <c r="U78" i="45" s="1"/>
  <c r="W78" i="45" s="1"/>
  <c r="U77" i="45"/>
  <c r="W36" i="45"/>
  <c r="Z36" i="45"/>
  <c r="AA36" i="45" s="1"/>
  <c r="U37" i="45"/>
  <c r="W37" i="45" s="1"/>
  <c r="Z38" i="45"/>
  <c r="U42" i="45"/>
  <c r="AA42" i="45" s="1"/>
  <c r="W44" i="45"/>
  <c r="Z44" i="45"/>
  <c r="AA44" i="45" s="1"/>
  <c r="AF48" i="45"/>
  <c r="Z51" i="45"/>
  <c r="U55" i="45"/>
  <c r="W55" i="45" s="1"/>
  <c r="U109" i="45"/>
  <c r="Z110" i="45"/>
  <c r="AA110" i="45" s="1"/>
  <c r="AH36" i="45"/>
  <c r="P38" i="45"/>
  <c r="U38" i="45" s="1"/>
  <c r="U41" i="45"/>
  <c r="Y41" i="45" s="1"/>
  <c r="AH44" i="45"/>
  <c r="AH48" i="45"/>
  <c r="U50" i="45"/>
  <c r="AH53" i="45"/>
  <c r="P56" i="45"/>
  <c r="Y61" i="45"/>
  <c r="L73" i="45"/>
  <c r="L78" i="45"/>
  <c r="X78" i="45"/>
  <c r="AG81" i="45"/>
  <c r="L81" i="45"/>
  <c r="Z87" i="45"/>
  <c r="Z57" i="45"/>
  <c r="Z78" i="45"/>
  <c r="W84" i="45"/>
  <c r="AH84" i="45"/>
  <c r="AG87" i="45"/>
  <c r="X87" i="45"/>
  <c r="L87" i="45"/>
  <c r="U94" i="45"/>
  <c r="W98" i="45"/>
  <c r="AH98" i="45"/>
  <c r="AG105" i="45"/>
  <c r="AF104" i="45" s="1"/>
  <c r="X105" i="45"/>
  <c r="V105" i="45"/>
  <c r="L105" i="45"/>
  <c r="W109" i="45"/>
  <c r="Z109" i="45"/>
  <c r="AA109" i="45" s="1"/>
  <c r="Z64" i="45"/>
  <c r="AA64" i="45" s="1"/>
  <c r="AH68" i="45"/>
  <c r="Y68" i="45"/>
  <c r="U70" i="45"/>
  <c r="AH70" i="45" s="1"/>
  <c r="U69" i="45"/>
  <c r="AA69" i="45" s="1"/>
  <c r="Z72" i="45"/>
  <c r="AA72" i="45" s="1"/>
  <c r="U73" i="45"/>
  <c r="V73" i="45"/>
  <c r="W74" i="45"/>
  <c r="AG78" i="45"/>
  <c r="Z80" i="45"/>
  <c r="AA80" i="45" s="1"/>
  <c r="U81" i="45"/>
  <c r="Y81" i="45" s="1"/>
  <c r="V81" i="45"/>
  <c r="U82" i="45"/>
  <c r="AA84" i="45"/>
  <c r="U88" i="45"/>
  <c r="U93" i="45"/>
  <c r="AA93" i="45" s="1"/>
  <c r="V77" i="45"/>
  <c r="X82" i="45"/>
  <c r="AG82" i="45"/>
  <c r="Z90" i="45"/>
  <c r="AA90" i="45" s="1"/>
  <c r="AA98" i="45"/>
  <c r="Z102" i="45"/>
  <c r="AA102" i="45" s="1"/>
  <c r="Y108" i="45"/>
  <c r="W112" i="45"/>
  <c r="AH112" i="45"/>
  <c r="AG94" i="45"/>
  <c r="AF92" i="45" s="1"/>
  <c r="X94" i="45"/>
  <c r="Y94" i="45" s="1"/>
  <c r="L94" i="45"/>
  <c r="U100" i="45"/>
  <c r="AA108" i="45"/>
  <c r="AG109" i="45"/>
  <c r="X109" i="45"/>
  <c r="L109" i="45"/>
  <c r="U114" i="45"/>
  <c r="X77" i="45"/>
  <c r="Y77" i="45" s="1"/>
  <c r="V88" i="45"/>
  <c r="AG88" i="45"/>
  <c r="AH92" i="45"/>
  <c r="V94" i="45"/>
  <c r="U99" i="45"/>
  <c r="AH102" i="45"/>
  <c r="U105" i="45"/>
  <c r="W108" i="45"/>
  <c r="AG110" i="45"/>
  <c r="X110" i="45"/>
  <c r="Y110" i="45" s="1"/>
  <c r="Y126" i="45"/>
  <c r="P106" i="45"/>
  <c r="U106" i="45" s="1"/>
  <c r="U113" i="45"/>
  <c r="Y113" i="45" s="1"/>
  <c r="W116" i="45"/>
  <c r="L117" i="45"/>
  <c r="V117" i="45"/>
  <c r="V122" i="45"/>
  <c r="L123" i="45"/>
  <c r="X123" i="45"/>
  <c r="AG123" i="45"/>
  <c r="AH125" i="45"/>
  <c r="Z131" i="45"/>
  <c r="AA131" i="45" s="1"/>
  <c r="W125" i="45"/>
  <c r="P127" i="45"/>
  <c r="U127" i="45" s="1"/>
  <c r="Y127" i="45" s="1"/>
  <c r="V127" i="45"/>
  <c r="X117" i="45"/>
  <c r="AG117" i="45"/>
  <c r="V123" i="45"/>
  <c r="Z133" i="45"/>
  <c r="AA133" i="45" s="1"/>
  <c r="AA46" i="45" l="1"/>
  <c r="AH100" i="45"/>
  <c r="AH78" i="45"/>
  <c r="AA78" i="45"/>
  <c r="AA24" i="45"/>
  <c r="Y109" i="45"/>
  <c r="Y78" i="45"/>
  <c r="Y122" i="45"/>
  <c r="AA33" i="45"/>
  <c r="Y117" i="45"/>
  <c r="AH123" i="45"/>
  <c r="AA114" i="45"/>
  <c r="Y33" i="45"/>
  <c r="Y114" i="45"/>
  <c r="AH126" i="45"/>
  <c r="W126" i="45"/>
  <c r="AH110" i="45"/>
  <c r="Y87" i="45"/>
  <c r="AA51" i="45"/>
  <c r="AA60" i="45"/>
  <c r="Y51" i="45"/>
  <c r="W34" i="45"/>
  <c r="W60" i="45"/>
  <c r="AH117" i="45"/>
  <c r="AF121" i="45"/>
  <c r="Y82" i="45"/>
  <c r="AA87" i="45"/>
  <c r="W46" i="45"/>
  <c r="AF76" i="45"/>
  <c r="Y42" i="45"/>
  <c r="AA20" i="45"/>
  <c r="AH94" i="45"/>
  <c r="W19" i="45"/>
  <c r="AA113" i="45"/>
  <c r="AF108" i="45"/>
  <c r="AH127" i="45"/>
  <c r="Y123" i="45"/>
  <c r="W117" i="45"/>
  <c r="Z117" i="45"/>
  <c r="AA117" i="45" s="1"/>
  <c r="AH106" i="45"/>
  <c r="AH114" i="45"/>
  <c r="W106" i="45"/>
  <c r="W93" i="45"/>
  <c r="Z77" i="45"/>
  <c r="AA77" i="45" s="1"/>
  <c r="W77" i="45"/>
  <c r="AH82" i="45"/>
  <c r="W82" i="45"/>
  <c r="AH81" i="45"/>
  <c r="AH50" i="45"/>
  <c r="AH38" i="45"/>
  <c r="W41" i="45"/>
  <c r="AH37" i="45"/>
  <c r="W42" i="45"/>
  <c r="AA41" i="45"/>
  <c r="AA82" i="45"/>
  <c r="Y50" i="45"/>
  <c r="AH45" i="45"/>
  <c r="W45" i="45"/>
  <c r="Y45" i="45"/>
  <c r="AH33" i="45"/>
  <c r="W29" i="45"/>
  <c r="AH29" i="45"/>
  <c r="Y29" i="45"/>
  <c r="W127" i="45"/>
  <c r="Z127" i="45"/>
  <c r="AA127" i="45" s="1"/>
  <c r="W99" i="45"/>
  <c r="W88" i="45"/>
  <c r="Z88" i="45"/>
  <c r="AA88" i="45" s="1"/>
  <c r="AF116" i="45"/>
  <c r="W100" i="45"/>
  <c r="AA100" i="45"/>
  <c r="AH93" i="45"/>
  <c r="Y93" i="45"/>
  <c r="W81" i="45"/>
  <c r="Z81" i="45"/>
  <c r="AA81" i="45" s="1"/>
  <c r="Y69" i="45"/>
  <c r="AH69" i="45"/>
  <c r="AH105" i="45"/>
  <c r="AF86" i="45"/>
  <c r="AH73" i="45"/>
  <c r="AH109" i="45"/>
  <c r="AH42" i="45"/>
  <c r="AH77" i="45"/>
  <c r="AH61" i="45"/>
  <c r="W61" i="45"/>
  <c r="W70" i="45"/>
  <c r="Z70" i="45"/>
  <c r="AA70" i="45" s="1"/>
  <c r="AA50" i="45"/>
  <c r="Y73" i="45"/>
  <c r="AH51" i="45"/>
  <c r="AH34" i="45"/>
  <c r="AA34" i="45"/>
  <c r="W123" i="45"/>
  <c r="Z123" i="45"/>
  <c r="AA123" i="45" s="1"/>
  <c r="W122" i="45"/>
  <c r="Z122" i="45"/>
  <c r="AA122" i="45" s="1"/>
  <c r="AH113" i="45"/>
  <c r="W94" i="45"/>
  <c r="Z94" i="45"/>
  <c r="AA94" i="45" s="1"/>
  <c r="Y99" i="45"/>
  <c r="Y106" i="45"/>
  <c r="AH88" i="45"/>
  <c r="W73" i="45"/>
  <c r="Z73" i="45"/>
  <c r="AA73" i="45" s="1"/>
  <c r="Z105" i="45"/>
  <c r="AA105" i="45" s="1"/>
  <c r="W105" i="45"/>
  <c r="AH87" i="45"/>
  <c r="Y88" i="45"/>
  <c r="U56" i="45"/>
  <c r="P57" i="45"/>
  <c r="U57" i="45" s="1"/>
  <c r="AA57" i="45" s="1"/>
  <c r="AA99" i="45"/>
  <c r="Y55" i="45"/>
  <c r="W50" i="45"/>
  <c r="AA38" i="45"/>
  <c r="Y62" i="45"/>
  <c r="AH62" i="45"/>
  <c r="W62" i="45"/>
  <c r="Y70" i="45"/>
  <c r="W38" i="45"/>
  <c r="AA62" i="45"/>
  <c r="Y37" i="45"/>
  <c r="P26" i="45"/>
  <c r="U26" i="45" s="1"/>
  <c r="U25" i="45"/>
  <c r="AH20" i="45"/>
  <c r="W20" i="45"/>
  <c r="AA45" i="45"/>
  <c r="W113" i="45"/>
  <c r="Y100" i="45"/>
  <c r="W114" i="45"/>
  <c r="AA106" i="45"/>
  <c r="Y105" i="45"/>
  <c r="AF80" i="45"/>
  <c r="AH41" i="45"/>
  <c r="AH99" i="45"/>
  <c r="AH55" i="45"/>
  <c r="AA74" i="45"/>
  <c r="Y74" i="45"/>
  <c r="AH74" i="45"/>
  <c r="W54" i="45"/>
  <c r="AH54" i="45"/>
  <c r="Y54" i="45"/>
  <c r="Y38" i="45"/>
  <c r="W69" i="45"/>
  <c r="AA37" i="45"/>
  <c r="AA55" i="45"/>
  <c r="AH49" i="45"/>
  <c r="AH46" i="45"/>
  <c r="Y19" i="45"/>
  <c r="AH19" i="45"/>
  <c r="W30" i="45"/>
  <c r="AH30" i="45"/>
  <c r="Y30" i="45"/>
  <c r="AH21" i="45"/>
  <c r="Y21" i="45"/>
  <c r="AA29" i="45"/>
  <c r="AA21" i="45"/>
  <c r="AH26" i="45" l="1"/>
  <c r="Y26" i="45"/>
  <c r="W26" i="45"/>
  <c r="AA26" i="45"/>
  <c r="AH57" i="45"/>
  <c r="W57" i="45"/>
  <c r="Y57" i="45"/>
  <c r="AH56" i="45"/>
  <c r="Y56" i="45"/>
  <c r="AA56" i="45"/>
  <c r="W56" i="45"/>
  <c r="W25" i="45"/>
  <c r="AH25" i="45"/>
  <c r="Y25" i="45"/>
  <c r="AA25" i="45"/>
  <c r="W134" i="45"/>
  <c r="AA134" i="45" l="1"/>
  <c r="AH134" i="45"/>
  <c r="AH136" i="45" s="1"/>
  <c r="Y134" i="45"/>
</calcChain>
</file>

<file path=xl/sharedStrings.xml><?xml version="1.0" encoding="utf-8"?>
<sst xmlns="http://schemas.openxmlformats.org/spreadsheetml/2006/main" count="3621" uniqueCount="131">
  <si>
    <t>x</t>
  </si>
  <si>
    <t xml:space="preserve"> </t>
    <phoneticPr fontId="0" type="noConversion"/>
  </si>
  <si>
    <t>ATTN:</t>
    <phoneticPr fontId="0" type="noConversion"/>
  </si>
  <si>
    <t>[XIAMEN] t.+86 592 8065 759 f. +86 592 8065758 a.: ROOM 2002, XINJING TOWER A, NO.21 JIAHE ROAD, SIMING DISTRICT, XIAMEN, FUJIAN, 361012, CHINA</t>
    <phoneticPr fontId="0" type="noConversion"/>
  </si>
  <si>
    <t>XIAMEN DEYUAN PANMIN TRADING CO., LTD.</t>
    <phoneticPr fontId="0" type="noConversion"/>
  </si>
  <si>
    <t>DEYUAN STONE</t>
    <phoneticPr fontId="0" type="noConversion"/>
  </si>
  <si>
    <t>TO:</t>
    <phoneticPr fontId="0" type="noConversion"/>
  </si>
  <si>
    <t>PAYMENT:</t>
    <phoneticPr fontId="0" type="noConversion"/>
  </si>
  <si>
    <t>INVOICE NO.</t>
    <phoneticPr fontId="0" type="noConversion"/>
  </si>
  <si>
    <t>P/I DATE:</t>
    <phoneticPr fontId="0" type="noConversion"/>
  </si>
  <si>
    <t>P/O NO.:</t>
    <phoneticPr fontId="0" type="noConversion"/>
  </si>
  <si>
    <t>P/I NO.:</t>
    <phoneticPr fontId="0" type="noConversion"/>
  </si>
  <si>
    <t>PORT OF LOADING:</t>
    <phoneticPr fontId="0" type="noConversion"/>
  </si>
  <si>
    <t>PORT OF DESTINATION:</t>
    <phoneticPr fontId="0" type="noConversion"/>
  </si>
  <si>
    <t>DELIVERY DATE:</t>
    <phoneticPr fontId="0" type="noConversion"/>
  </si>
  <si>
    <t>ARRIVAL DATE:</t>
    <phoneticPr fontId="0" type="noConversion"/>
  </si>
  <si>
    <t>DESCRIPTION</t>
    <phoneticPr fontId="0" type="noConversion"/>
  </si>
  <si>
    <t>LONG
(IN)</t>
    <phoneticPr fontId="0" type="noConversion"/>
  </si>
  <si>
    <t>WIDE
(IN)</t>
    <phoneticPr fontId="0" type="noConversion"/>
  </si>
  <si>
    <t>THICK
(IN)</t>
    <phoneticPr fontId="0" type="noConversion"/>
  </si>
  <si>
    <t>UNIT PRICE
(USD/SET)</t>
    <phoneticPr fontId="0" type="noConversion"/>
  </si>
  <si>
    <t>WEIGHT
(LBS)</t>
    <phoneticPr fontId="0" type="noConversion"/>
  </si>
  <si>
    <t>WEIGHT
(KGS)</t>
    <phoneticPr fontId="0" type="noConversion"/>
  </si>
  <si>
    <t>B/L NO.:</t>
    <phoneticPr fontId="0" type="noConversion"/>
  </si>
  <si>
    <t>QTY.
(SETS)</t>
    <phoneticPr fontId="0" type="noConversion"/>
  </si>
  <si>
    <t>REMARKS</t>
    <phoneticPr fontId="0" type="noConversion"/>
  </si>
  <si>
    <t>VESSEL:</t>
    <phoneticPr fontId="0" type="noConversion"/>
  </si>
  <si>
    <t>ORIGIN:</t>
    <phoneticPr fontId="0" type="noConversion"/>
  </si>
  <si>
    <t>CONTAINER &amp; SEAL #:</t>
    <phoneticPr fontId="0" type="noConversion"/>
  </si>
  <si>
    <t>TOTAL PRICE 
(USD)</t>
    <phoneticPr fontId="0" type="noConversion"/>
  </si>
  <si>
    <t>UNIT TYPE</t>
    <phoneticPr fontId="0" type="noConversion"/>
  </si>
  <si>
    <t>ITEM #</t>
    <phoneticPr fontId="0" type="noConversion"/>
  </si>
  <si>
    <t>DRAWING #</t>
    <phoneticPr fontId="0" type="noConversion"/>
  </si>
  <si>
    <t>INSTALLATION</t>
    <phoneticPr fontId="0" type="noConversion"/>
  </si>
  <si>
    <t>DRAWINGS</t>
    <phoneticPr fontId="0" type="noConversion"/>
  </si>
  <si>
    <t>SQ.FT/PC</t>
    <phoneticPr fontId="0" type="noConversion"/>
  </si>
  <si>
    <t>TOTAL SQ.FT</t>
    <phoneticPr fontId="0" type="noConversion"/>
  </si>
  <si>
    <t>UNIT PRICE
(USD/SQ.FT)</t>
    <phoneticPr fontId="0" type="noConversion"/>
  </si>
  <si>
    <t>MATERIAL</t>
    <phoneticPr fontId="0" type="noConversion"/>
  </si>
  <si>
    <t>CATEGORY</t>
    <phoneticPr fontId="0" type="noConversion"/>
  </si>
  <si>
    <t>SCHEME #</t>
    <phoneticPr fontId="0" type="noConversion"/>
  </si>
  <si>
    <t>SINKS CLIPS</t>
    <phoneticPr fontId="0" type="noConversion"/>
  </si>
  <si>
    <t>METAL RODS</t>
    <phoneticPr fontId="0" type="noConversion"/>
  </si>
  <si>
    <t>STD</t>
    <phoneticPr fontId="0" type="noConversion"/>
  </si>
  <si>
    <t>STD/REV</t>
    <phoneticPr fontId="0" type="noConversion"/>
  </si>
  <si>
    <t>COUNTERTOP</t>
    <phoneticPr fontId="0" type="noConversion"/>
  </si>
  <si>
    <t>EASED EDGE</t>
    <phoneticPr fontId="0" type="noConversion"/>
  </si>
  <si>
    <t>KITCHEN</t>
  </si>
  <si>
    <t>TYPE</t>
  </si>
  <si>
    <t>TOTAL</t>
    <phoneticPr fontId="0" type="noConversion"/>
  </si>
  <si>
    <t>DEPOSIT</t>
    <phoneticPr fontId="0" type="noConversion"/>
  </si>
  <si>
    <t>BALANCE</t>
    <phoneticPr fontId="0" type="noConversion"/>
  </si>
  <si>
    <t>TWO SINKS CUT</t>
    <phoneticPr fontId="0" type="noConversion"/>
  </si>
  <si>
    <t>EXTRA</t>
    <phoneticPr fontId="0" type="noConversion"/>
  </si>
  <si>
    <t>GRANITE</t>
    <phoneticPr fontId="0" type="noConversion"/>
  </si>
  <si>
    <t>BACK SPLASH</t>
    <phoneticPr fontId="0" type="noConversion"/>
  </si>
  <si>
    <t>SIDE SPLASH</t>
    <phoneticPr fontId="0" type="noConversion"/>
  </si>
  <si>
    <t>COUNTERTOP - 3CM</t>
    <phoneticPr fontId="0" type="noConversion"/>
  </si>
  <si>
    <t>JOINT,COUNTERTOP</t>
    <phoneticPr fontId="0" type="noConversion"/>
  </si>
  <si>
    <t>VANITY - 2CM</t>
    <phoneticPr fontId="0" type="noConversion"/>
  </si>
  <si>
    <t>VANITY</t>
    <phoneticPr fontId="0" type="noConversion"/>
  </si>
  <si>
    <t>VANITY TOP</t>
    <phoneticPr fontId="0" type="noConversion"/>
  </si>
  <si>
    <t xml:space="preserve">EXTRA </t>
    <phoneticPr fontId="0" type="noConversion"/>
  </si>
  <si>
    <t>M2/PC</t>
    <phoneticPr fontId="0" type="noConversion"/>
  </si>
  <si>
    <t>TOTAL
 M2</t>
    <phoneticPr fontId="0" type="noConversion"/>
  </si>
  <si>
    <t>REV</t>
    <phoneticPr fontId="0" type="noConversion"/>
  </si>
  <si>
    <t>8509 – MONTGOMERY RIDGE</t>
    <phoneticPr fontId="0" type="noConversion"/>
  </si>
  <si>
    <t>BLDG A
LE 3</t>
    <phoneticPr fontId="0" type="noConversion"/>
  </si>
  <si>
    <t>BLDG A
LE 2</t>
    <phoneticPr fontId="0" type="noConversion"/>
  </si>
  <si>
    <t>BLDG A
LE 1</t>
    <phoneticPr fontId="0" type="noConversion"/>
  </si>
  <si>
    <t>A1, A1 ALTS-All CONDITIONS</t>
    <phoneticPr fontId="0" type="noConversion"/>
  </si>
  <si>
    <t>A1 ADA</t>
    <phoneticPr fontId="0" type="noConversion"/>
  </si>
  <si>
    <t>A2</t>
    <phoneticPr fontId="0" type="noConversion"/>
  </si>
  <si>
    <t>A4</t>
    <phoneticPr fontId="0" type="noConversion"/>
  </si>
  <si>
    <t>B1</t>
    <phoneticPr fontId="0" type="noConversion"/>
  </si>
  <si>
    <t>B2</t>
    <phoneticPr fontId="0" type="noConversion"/>
  </si>
  <si>
    <t>C1</t>
    <phoneticPr fontId="0" type="noConversion"/>
  </si>
  <si>
    <t>MUD BENCH</t>
    <phoneticPr fontId="0" type="noConversion"/>
  </si>
  <si>
    <t>SHOWER WALL CAPS</t>
    <phoneticPr fontId="0" type="noConversion"/>
  </si>
  <si>
    <t>BLDG A
LE 4</t>
    <phoneticPr fontId="0" type="noConversion"/>
  </si>
  <si>
    <t>BLDG A
LE GARDEN</t>
    <phoneticPr fontId="0" type="noConversion"/>
  </si>
  <si>
    <t>TOTAL AMOUNT: SAY US DOLLARS TWENTY THREE THOUSAND FIVE HUNDRED AND FORTY NINE AND CENTS SEVENTY THREE ONLY.</t>
    <phoneticPr fontId="0" type="noConversion"/>
  </si>
  <si>
    <t xml:space="preserve">PACKING LIST </t>
    <phoneticPr fontId="0" type="noConversion"/>
  </si>
  <si>
    <t>CRATE#</t>
    <phoneticPr fontId="2" type="noConversion"/>
  </si>
  <si>
    <t>X</t>
  </si>
  <si>
    <t>TOTAL</t>
    <phoneticPr fontId="2" type="noConversion"/>
  </si>
  <si>
    <t>For Final Destination Within United States Of America, We Hereby Certify That All The Wooden Packages Have Been Heat-Treated And Marked Complying With Ispm#15 Regulations.</t>
  </si>
  <si>
    <t>COMMERCIAL INVOICE</t>
    <phoneticPr fontId="0" type="noConversion"/>
  </si>
  <si>
    <t>TOTAL</t>
    <phoneticPr fontId="2" type="noConversion"/>
  </si>
  <si>
    <t>2 CTN TOTAL</t>
    <phoneticPr fontId="2" type="noConversion"/>
  </si>
  <si>
    <r>
      <t>1*40GP</t>
    </r>
    <r>
      <rPr>
        <b/>
        <sz val="18"/>
        <color rgb="FFFF0000"/>
        <rFont val="宋体"/>
        <family val="3"/>
        <charset val="134"/>
      </rPr>
      <t>，</t>
    </r>
    <r>
      <rPr>
        <b/>
        <sz val="18"/>
        <color rgb="FFFF0000"/>
        <rFont val="Arial"/>
        <family val="2"/>
      </rPr>
      <t>TOTAL,17CRATES,CONTAINER&amp;SEAL:OOCU4974508/OOLFVQ7652/40GP</t>
    </r>
    <phoneticPr fontId="2" type="noConversion"/>
  </si>
  <si>
    <r>
      <t>1*40GP</t>
    </r>
    <r>
      <rPr>
        <b/>
        <sz val="18"/>
        <color rgb="FFFF0000"/>
        <rFont val="宋体"/>
        <family val="3"/>
        <charset val="134"/>
      </rPr>
      <t>，</t>
    </r>
    <r>
      <rPr>
        <b/>
        <sz val="18"/>
        <color rgb="FFFF0000"/>
        <rFont val="Arial"/>
        <family val="2"/>
      </rPr>
      <t>TOTAL,17CRATES,CONTAINER&amp;SEAL:OOCU4852860/OOLFVQ7651/40GP</t>
    </r>
    <phoneticPr fontId="2" type="noConversion"/>
  </si>
  <si>
    <t>客户名称</t>
    <phoneticPr fontId="0" type="noConversion"/>
  </si>
  <si>
    <t>公司名字</t>
    <phoneticPr fontId="0" type="noConversion"/>
  </si>
  <si>
    <t>公司地址</t>
    <phoneticPr fontId="0" type="noConversion"/>
  </si>
  <si>
    <t>付款方式</t>
    <phoneticPr fontId="0" type="noConversion"/>
  </si>
  <si>
    <t>订单号码</t>
    <phoneticPr fontId="0" type="noConversion"/>
  </si>
  <si>
    <t>订单日期</t>
    <phoneticPr fontId="2" type="noConversion"/>
  </si>
  <si>
    <t>提单号码</t>
    <phoneticPr fontId="2" type="noConversion"/>
  </si>
  <si>
    <t>船期信息</t>
    <phoneticPr fontId="2" type="noConversion"/>
  </si>
  <si>
    <t>装船港</t>
    <phoneticPr fontId="0" type="noConversion"/>
  </si>
  <si>
    <t>卸货港</t>
    <phoneticPr fontId="2" type="noConversion"/>
  </si>
  <si>
    <t>船发日期</t>
    <phoneticPr fontId="2" type="noConversion"/>
  </si>
  <si>
    <t>船到日期</t>
    <phoneticPr fontId="2" type="noConversion"/>
  </si>
  <si>
    <t>货柜号码1</t>
    <phoneticPr fontId="2" type="noConversion"/>
  </si>
  <si>
    <r>
      <rPr>
        <sz val="11"/>
        <rFont val="宋体"/>
        <family val="2"/>
        <charset val="134"/>
      </rPr>
      <t>货柜号码</t>
    </r>
    <r>
      <rPr>
        <sz val="11"/>
        <rFont val="Arial"/>
        <family val="2"/>
      </rPr>
      <t>2</t>
    </r>
    <phoneticPr fontId="2" type="noConversion"/>
  </si>
  <si>
    <t>原产国</t>
    <phoneticPr fontId="0" type="noConversion"/>
  </si>
  <si>
    <r>
      <t xml:space="preserve">ITEM #
</t>
    </r>
    <r>
      <rPr>
        <b/>
        <sz val="12"/>
        <rFont val="宋体"/>
        <family val="2"/>
        <charset val="134"/>
      </rPr>
      <t>编号</t>
    </r>
    <phoneticPr fontId="0" type="noConversion"/>
  </si>
  <si>
    <r>
      <t xml:space="preserve">UNIT TYPE
</t>
    </r>
    <r>
      <rPr>
        <b/>
        <sz val="12"/>
        <rFont val="宋体"/>
        <family val="2"/>
        <charset val="134"/>
      </rPr>
      <t>房型</t>
    </r>
    <phoneticPr fontId="0" type="noConversion"/>
  </si>
  <si>
    <r>
      <t xml:space="preserve">STD/REV
</t>
    </r>
    <r>
      <rPr>
        <b/>
        <sz val="12"/>
        <rFont val="宋体"/>
        <family val="2"/>
        <charset val="134"/>
      </rPr>
      <t>正反手</t>
    </r>
    <phoneticPr fontId="0" type="noConversion"/>
  </si>
  <si>
    <r>
      <t xml:space="preserve">DRAWING #
</t>
    </r>
    <r>
      <rPr>
        <b/>
        <sz val="12"/>
        <rFont val="宋体"/>
        <family val="2"/>
        <charset val="134"/>
      </rPr>
      <t>图纸编号</t>
    </r>
    <phoneticPr fontId="0" type="noConversion"/>
  </si>
  <si>
    <r>
      <t xml:space="preserve">CATEGORY
</t>
    </r>
    <r>
      <rPr>
        <b/>
        <sz val="12"/>
        <rFont val="宋体"/>
        <family val="2"/>
        <charset val="134"/>
      </rPr>
      <t>产品大类</t>
    </r>
    <phoneticPr fontId="0" type="noConversion"/>
  </si>
  <si>
    <r>
      <t xml:space="preserve">MATERIAL
</t>
    </r>
    <r>
      <rPr>
        <b/>
        <sz val="12"/>
        <rFont val="宋体"/>
        <family val="2"/>
        <charset val="134"/>
      </rPr>
      <t>产品名称</t>
    </r>
    <phoneticPr fontId="0" type="noConversion"/>
  </si>
  <si>
    <r>
      <t xml:space="preserve">DESCRIPTION
</t>
    </r>
    <r>
      <rPr>
        <b/>
        <sz val="12"/>
        <rFont val="宋体"/>
        <family val="2"/>
        <charset val="134"/>
      </rPr>
      <t>加工</t>
    </r>
    <phoneticPr fontId="0" type="noConversion"/>
  </si>
  <si>
    <r>
      <t xml:space="preserve">TYPE
</t>
    </r>
    <r>
      <rPr>
        <b/>
        <sz val="12"/>
        <rFont val="宋体"/>
        <family val="2"/>
        <charset val="134"/>
      </rPr>
      <t>产品用途</t>
    </r>
    <phoneticPr fontId="2" type="noConversion"/>
  </si>
  <si>
    <r>
      <t xml:space="preserve">REMARKS
</t>
    </r>
    <r>
      <rPr>
        <b/>
        <sz val="12"/>
        <rFont val="宋体"/>
        <family val="2"/>
        <charset val="134"/>
      </rPr>
      <t>备注</t>
    </r>
    <phoneticPr fontId="0" type="noConversion"/>
  </si>
  <si>
    <t>花岗岩客户的英语名称</t>
  </si>
  <si>
    <t>这是其中的一部分的分期信息</t>
    <phoneticPr fontId="2" type="noConversion"/>
  </si>
  <si>
    <t>花岗岩</t>
    <phoneticPr fontId="0" type="noConversion"/>
  </si>
  <si>
    <t>G123</t>
    <phoneticPr fontId="2" type="noConversion"/>
  </si>
  <si>
    <t>拼接</t>
    <phoneticPr fontId="0" type="noConversion"/>
  </si>
  <si>
    <t>SO001-1</t>
    <phoneticPr fontId="2" type="noConversion"/>
  </si>
  <si>
    <t>SO001-2</t>
  </si>
  <si>
    <t>SO001-3</t>
  </si>
  <si>
    <t>SO001-4</t>
  </si>
  <si>
    <t>SO001-5</t>
  </si>
  <si>
    <t>石英石</t>
    <phoneticPr fontId="0" type="noConversion"/>
  </si>
  <si>
    <t>PMQ1234</t>
    <phoneticPr fontId="2" type="noConversion"/>
  </si>
  <si>
    <r>
      <t xml:space="preserve">EASED EDGE
</t>
    </r>
    <r>
      <rPr>
        <sz val="11"/>
        <color theme="1"/>
        <rFont val="宋体"/>
        <family val="2"/>
        <charset val="134"/>
      </rPr>
      <t>直边</t>
    </r>
    <phoneticPr fontId="0" type="noConversion"/>
  </si>
  <si>
    <t>岛板</t>
    <phoneticPr fontId="2" type="noConversion"/>
  </si>
  <si>
    <t>台面板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</si>
</sst>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26" formatCode="\$#,##0.00_);[Red]\(\$#,##0.00\)"/>
    <numFmt numFmtId="176" formatCode="#,###&quot;PCS&quot;"/>
    <numFmt numFmtId="177" formatCode="#0.000&quot;M2&quot;"/>
    <numFmt numFmtId="178" formatCode="[$-409]mmmm\ d\,\ yyyy;@"/>
    <numFmt numFmtId="179" formatCode="&quot;US$&quot;#,##0.00_);[Red]\(&quot;US$&quot;#,##0.00\)"/>
    <numFmt numFmtId="180" formatCode="0.00_);[Red]\(0.00\)"/>
    <numFmt numFmtId="181" formatCode="&quot;US$&quot;#,##0.00;[Red]\-&quot;US$&quot;#,##0.00"/>
    <numFmt numFmtId="182" formatCode="&quot;I&quot;###"/>
    <numFmt numFmtId="183" formatCode="&quot;PAGE&quot;\ 0\ &quot;OF 130&quot;"/>
  </numFmts>
  <fonts count="36">
    <font>
      <sz val="11"/>
      <name val="Arial"/>
      <family val="2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Calibri"/>
      <family val="2"/>
    </font>
    <font>
      <sz val="12"/>
      <name val="Calibri"/>
      <family val="2"/>
    </font>
    <font>
      <b/>
      <sz val="12"/>
      <color indexed="56"/>
      <name val="Calibri"/>
      <family val="2"/>
    </font>
    <font>
      <sz val="10"/>
      <name val="Arial"/>
      <family val="2"/>
    </font>
    <font>
      <b/>
      <i/>
      <sz val="16"/>
      <color theme="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11"/>
      <color rgb="FFFF0000"/>
      <name val="Arial"/>
      <family val="2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10"/>
      <name val="Arial"/>
      <family val="2"/>
    </font>
    <font>
      <b/>
      <sz val="11"/>
      <color indexed="5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  <font>
      <sz val="16"/>
      <name val="Calibri"/>
      <family val="2"/>
    </font>
    <font>
      <sz val="16"/>
      <color theme="1"/>
      <name val="Arial"/>
      <family val="2"/>
    </font>
    <font>
      <b/>
      <sz val="18"/>
      <color rgb="FFFF0000"/>
      <name val="宋体"/>
      <family val="3"/>
      <charset val="134"/>
    </font>
    <font>
      <sz val="11"/>
      <name val="宋体"/>
      <family val="2"/>
      <charset val="134"/>
    </font>
    <font>
      <sz val="11"/>
      <color rgb="FF000000"/>
      <name val="宋体"/>
      <family val="2"/>
      <charset val="134"/>
    </font>
    <font>
      <sz val="11"/>
      <name val="Arial"/>
      <family val="2"/>
      <charset val="134"/>
    </font>
    <font>
      <b/>
      <sz val="12"/>
      <name val="宋体"/>
      <family val="2"/>
      <charset val="134"/>
    </font>
    <font>
      <sz val="11"/>
      <color theme="1"/>
      <name val="宋体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178" fontId="0" fillId="0" borderId="0"/>
    <xf numFmtId="176" fontId="3" fillId="0" borderId="0" applyFont="0" applyFill="0" applyBorder="0" applyAlignment="0" applyProtection="0"/>
    <xf numFmtId="178" fontId="1" fillId="0" borderId="0">
      <alignment vertical="center"/>
    </xf>
    <xf numFmtId="178" fontId="3" fillId="0" borderId="0"/>
    <xf numFmtId="178" fontId="3" fillId="0" borderId="0"/>
  </cellStyleXfs>
  <cellXfs count="208">
    <xf numFmtId="178" fontId="0" fillId="0" borderId="0" xfId="0"/>
    <xf numFmtId="178" fontId="4" fillId="0" borderId="0" xfId="0" applyFont="1"/>
    <xf numFmtId="178" fontId="4" fillId="0" borderId="0" xfId="0" applyFont="1" applyFill="1"/>
    <xf numFmtId="178" fontId="4" fillId="0" borderId="0" xfId="0" applyFont="1" applyFill="1" applyAlignment="1">
      <alignment horizontal="center"/>
    </xf>
    <xf numFmtId="178" fontId="5" fillId="0" borderId="0" xfId="0" applyFont="1" applyFill="1" applyAlignment="1">
      <alignment horizontal="left"/>
    </xf>
    <xf numFmtId="12" fontId="5" fillId="0" borderId="0" xfId="0" applyNumberFormat="1" applyFont="1" applyFill="1" applyAlignment="1">
      <alignment horizontal="center"/>
    </xf>
    <xf numFmtId="178" fontId="5" fillId="0" borderId="0" xfId="0" applyFont="1" applyFill="1" applyAlignment="1">
      <alignment horizontal="center"/>
    </xf>
    <xf numFmtId="178" fontId="5" fillId="0" borderId="0" xfId="0" applyNumberFormat="1" applyFont="1" applyFill="1" applyAlignment="1">
      <alignment horizontal="left"/>
    </xf>
    <xf numFmtId="178" fontId="6" fillId="0" borderId="0" xfId="0" applyFont="1" applyFill="1" applyAlignment="1">
      <alignment horizontal="left"/>
    </xf>
    <xf numFmtId="26" fontId="5" fillId="0" borderId="0" xfId="0" applyNumberFormat="1" applyFont="1" applyFill="1" applyAlignment="1">
      <alignment horizontal="center" vertical="center"/>
    </xf>
    <xf numFmtId="176" fontId="11" fillId="0" borderId="0" xfId="1" applyFont="1" applyFill="1" applyAlignment="1">
      <alignment horizontal="center"/>
    </xf>
    <xf numFmtId="4" fontId="0" fillId="0" borderId="0" xfId="0" applyNumberFormat="1" applyFont="1" applyFill="1" applyAlignment="1">
      <alignment horizontal="center"/>
    </xf>
    <xf numFmtId="178" fontId="10" fillId="0" borderId="0" xfId="0" applyFont="1" applyFill="1" applyAlignment="1">
      <alignment horizontal="left"/>
    </xf>
    <xf numFmtId="178" fontId="10" fillId="0" borderId="0" xfId="0" applyFont="1" applyFill="1"/>
    <xf numFmtId="12" fontId="10" fillId="0" borderId="0" xfId="0" applyNumberFormat="1" applyFont="1" applyFill="1" applyAlignment="1">
      <alignment horizontal="center"/>
    </xf>
    <xf numFmtId="178" fontId="14" fillId="0" borderId="0" xfId="0" applyFont="1" applyFill="1" applyAlignment="1">
      <alignment horizontal="left"/>
    </xf>
    <xf numFmtId="178" fontId="15" fillId="0" borderId="0" xfId="0" applyFont="1" applyFill="1" applyAlignment="1">
      <alignment horizontal="center"/>
    </xf>
    <xf numFmtId="178" fontId="16" fillId="0" borderId="0" xfId="0" applyFont="1" applyFill="1" applyAlignment="1">
      <alignment horizontal="left"/>
    </xf>
    <xf numFmtId="178" fontId="17" fillId="0" borderId="0" xfId="0" applyFont="1" applyFill="1" applyAlignment="1">
      <alignment horizontal="left"/>
    </xf>
    <xf numFmtId="178" fontId="18" fillId="0" borderId="0" xfId="0" applyFont="1" applyFill="1" applyAlignment="1">
      <alignment horizontal="center"/>
    </xf>
    <xf numFmtId="178" fontId="0" fillId="0" borderId="0" xfId="0" applyFont="1" applyFill="1" applyAlignment="1">
      <alignment horizontal="center"/>
    </xf>
    <xf numFmtId="12" fontId="0" fillId="0" borderId="0" xfId="0" applyNumberFormat="1" applyFont="1" applyFill="1" applyAlignment="1">
      <alignment horizontal="center"/>
    </xf>
    <xf numFmtId="178" fontId="9" fillId="2" borderId="1" xfId="0" applyFont="1" applyFill="1" applyBorder="1" applyAlignment="1">
      <alignment horizontal="center" vertical="center" wrapText="1"/>
    </xf>
    <xf numFmtId="12" fontId="9" fillId="2" borderId="1" xfId="1" applyNumberFormat="1" applyFont="1" applyFill="1" applyBorder="1" applyAlignment="1">
      <alignment horizontal="center" vertical="center" wrapText="1"/>
    </xf>
    <xf numFmtId="177" fontId="9" fillId="2" borderId="1" xfId="1" applyNumberFormat="1" applyFont="1" applyFill="1" applyBorder="1" applyAlignment="1">
      <alignment horizontal="center" vertical="center" wrapText="1"/>
    </xf>
    <xf numFmtId="178" fontId="9" fillId="2" borderId="1" xfId="1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178" fontId="0" fillId="0" borderId="0" xfId="0" applyFont="1" applyFill="1" applyAlignment="1">
      <alignment vertical="center"/>
    </xf>
    <xf numFmtId="178" fontId="11" fillId="0" borderId="0" xfId="0" applyFont="1" applyFill="1" applyAlignment="1">
      <alignment horizontal="center"/>
    </xf>
    <xf numFmtId="178" fontId="17" fillId="0" borderId="0" xfId="0" applyFont="1" applyFill="1" applyBorder="1" applyAlignment="1">
      <alignment horizontal="center" vertical="center"/>
    </xf>
    <xf numFmtId="178" fontId="0" fillId="0" borderId="0" xfId="0" applyFont="1" applyFill="1" applyAlignment="1"/>
    <xf numFmtId="178" fontId="0" fillId="0" borderId="0" xfId="0" applyFont="1" applyFill="1" applyBorder="1" applyAlignment="1">
      <alignment horizontal="center" vertical="center"/>
    </xf>
    <xf numFmtId="178" fontId="21" fillId="0" borderId="1" xfId="0" applyFont="1" applyFill="1" applyBorder="1" applyAlignment="1">
      <alignment horizontal="center" vertical="center" wrapText="1"/>
    </xf>
    <xf numFmtId="12" fontId="0" fillId="0" borderId="3" xfId="0" applyNumberFormat="1" applyFont="1" applyFill="1" applyBorder="1" applyAlignment="1">
      <alignment horizontal="center" vertical="center"/>
    </xf>
    <xf numFmtId="12" fontId="0" fillId="0" borderId="4" xfId="0" applyNumberFormat="1" applyFont="1" applyFill="1" applyBorder="1" applyAlignment="1">
      <alignment horizontal="center" vertical="center"/>
    </xf>
    <xf numFmtId="12" fontId="0" fillId="0" borderId="5" xfId="0" applyNumberFormat="1" applyFont="1" applyFill="1" applyBorder="1" applyAlignment="1">
      <alignment horizontal="center" vertical="center"/>
    </xf>
    <xf numFmtId="178" fontId="21" fillId="0" borderId="1" xfId="0" applyFont="1" applyFill="1" applyBorder="1" applyAlignment="1">
      <alignment vertical="center" wrapText="1"/>
    </xf>
    <xf numFmtId="12" fontId="0" fillId="0" borderId="2" xfId="0" applyNumberFormat="1" applyFont="1" applyFill="1" applyBorder="1" applyAlignment="1">
      <alignment horizontal="center" vertical="center"/>
    </xf>
    <xf numFmtId="178" fontId="21" fillId="0" borderId="1" xfId="0" applyFont="1" applyFill="1" applyBorder="1" applyAlignment="1">
      <alignment horizontal="left" vertical="center" wrapText="1"/>
    </xf>
    <xf numFmtId="178" fontId="0" fillId="0" borderId="0" xfId="0" applyNumberFormat="1" applyFont="1" applyAlignment="1">
      <alignment horizontal="left"/>
    </xf>
    <xf numFmtId="178" fontId="17" fillId="0" borderId="0" xfId="0" applyNumberFormat="1" applyFont="1" applyFill="1" applyAlignment="1">
      <alignment horizontal="left"/>
    </xf>
    <xf numFmtId="179" fontId="0" fillId="0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 wrapText="1"/>
    </xf>
    <xf numFmtId="12" fontId="0" fillId="0" borderId="1" xfId="0" applyNumberFormat="1" applyFont="1" applyFill="1" applyBorder="1" applyAlignment="1">
      <alignment horizontal="center" vertical="center"/>
    </xf>
    <xf numFmtId="178" fontId="9" fillId="0" borderId="0" xfId="0" applyFont="1" applyFill="1" applyAlignment="1"/>
    <xf numFmtId="180" fontId="11" fillId="0" borderId="0" xfId="1" applyNumberFormat="1" applyFont="1" applyFill="1" applyAlignment="1">
      <alignment horizontal="center"/>
    </xf>
    <xf numFmtId="180" fontId="10" fillId="0" borderId="0" xfId="0" applyNumberFormat="1" applyFont="1" applyFill="1"/>
    <xf numFmtId="180" fontId="9" fillId="0" borderId="0" xfId="0" applyNumberFormat="1" applyFont="1" applyFill="1" applyAlignment="1"/>
    <xf numFmtId="180" fontId="9" fillId="2" borderId="1" xfId="1" applyNumberFormat="1" applyFont="1" applyFill="1" applyBorder="1" applyAlignment="1">
      <alignment horizontal="center" vertical="center" wrapText="1"/>
    </xf>
    <xf numFmtId="180" fontId="21" fillId="0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Fill="1" applyBorder="1" applyAlignment="1">
      <alignment horizontal="center" vertical="center"/>
    </xf>
    <xf numFmtId="180" fontId="0" fillId="0" borderId="0" xfId="0" applyNumberFormat="1" applyFont="1" applyFill="1" applyAlignment="1"/>
    <xf numFmtId="180" fontId="4" fillId="0" borderId="0" xfId="0" applyNumberFormat="1" applyFont="1"/>
    <xf numFmtId="180" fontId="6" fillId="0" borderId="0" xfId="0" applyNumberFormat="1" applyFont="1" applyFill="1" applyAlignment="1">
      <alignment horizontal="left"/>
    </xf>
    <xf numFmtId="180" fontId="4" fillId="0" borderId="0" xfId="0" applyNumberFormat="1" applyFont="1" applyFill="1"/>
    <xf numFmtId="181" fontId="11" fillId="0" borderId="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Fill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/>
    </xf>
    <xf numFmtId="179" fontId="11" fillId="0" borderId="0" xfId="1" applyNumberFormat="1" applyFont="1" applyFill="1" applyAlignment="1">
      <alignment horizontal="center"/>
    </xf>
    <xf numFmtId="179" fontId="10" fillId="0" borderId="0" xfId="0" applyNumberFormat="1" applyFont="1" applyFill="1"/>
    <xf numFmtId="179" fontId="9" fillId="0" borderId="0" xfId="0" applyNumberFormat="1" applyFont="1" applyFill="1" applyAlignment="1"/>
    <xf numFmtId="179" fontId="11" fillId="0" borderId="0" xfId="0" applyNumberFormat="1" applyFont="1" applyFill="1" applyBorder="1" applyAlignment="1">
      <alignment horizontal="center"/>
    </xf>
    <xf numFmtId="179" fontId="9" fillId="2" borderId="1" xfId="1" applyNumberFormat="1" applyFont="1" applyFill="1" applyBorder="1" applyAlignment="1">
      <alignment horizontal="center" vertical="center" wrapText="1"/>
    </xf>
    <xf numFmtId="179" fontId="21" fillId="0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Alignment="1"/>
    <xf numFmtId="179" fontId="4" fillId="0" borderId="0" xfId="0" applyNumberFormat="1" applyFont="1"/>
    <xf numFmtId="179" fontId="6" fillId="0" borderId="0" xfId="0" applyNumberFormat="1" applyFont="1" applyFill="1" applyAlignment="1">
      <alignment horizontal="left"/>
    </xf>
    <xf numFmtId="179" fontId="4" fillId="0" borderId="0" xfId="0" applyNumberFormat="1" applyFont="1" applyFill="1"/>
    <xf numFmtId="12" fontId="21" fillId="0" borderId="1" xfId="0" applyNumberFormat="1" applyFont="1" applyFill="1" applyBorder="1" applyAlignment="1">
      <alignment horizontal="center" vertical="center" wrapText="1"/>
    </xf>
    <xf numFmtId="178" fontId="4" fillId="0" borderId="0" xfId="0" applyFont="1" applyAlignment="1">
      <alignment horizontal="center"/>
    </xf>
    <xf numFmtId="178" fontId="21" fillId="0" borderId="7" xfId="0" applyFont="1" applyFill="1" applyBorder="1" applyAlignment="1">
      <alignment horizontal="center" vertical="center" wrapText="1"/>
    </xf>
    <xf numFmtId="178" fontId="11" fillId="5" borderId="1" xfId="0" applyFont="1" applyFill="1" applyBorder="1" applyAlignment="1">
      <alignment horizontal="center" vertical="center"/>
    </xf>
    <xf numFmtId="178" fontId="11" fillId="0" borderId="1" xfId="0" applyFont="1" applyFill="1" applyBorder="1" applyAlignment="1">
      <alignment horizontal="center" vertical="center"/>
    </xf>
    <xf numFmtId="49" fontId="22" fillId="2" borderId="1" xfId="1" applyNumberFormat="1" applyFont="1" applyFill="1" applyBorder="1" applyAlignment="1">
      <alignment horizontal="center" vertical="center" wrapText="1"/>
    </xf>
    <xf numFmtId="179" fontId="20" fillId="0" borderId="1" xfId="0" applyNumberFormat="1" applyFont="1" applyFill="1" applyBorder="1" applyAlignment="1">
      <alignment horizontal="center" vertical="center" wrapText="1"/>
    </xf>
    <xf numFmtId="178" fontId="20" fillId="0" borderId="1" xfId="0" applyFont="1" applyFill="1" applyBorder="1" applyAlignment="1">
      <alignment horizontal="left" vertical="center" wrapText="1"/>
    </xf>
    <xf numFmtId="178" fontId="0" fillId="0" borderId="1" xfId="0" applyFont="1" applyFill="1" applyBorder="1" applyAlignment="1">
      <alignment vertical="center" wrapText="1"/>
    </xf>
    <xf numFmtId="12" fontId="0" fillId="0" borderId="8" xfId="0" applyNumberFormat="1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 wrapText="1"/>
    </xf>
    <xf numFmtId="0" fontId="11" fillId="0" borderId="0" xfId="1" applyNumberFormat="1" applyFont="1" applyFill="1" applyAlignment="1">
      <alignment horizontal="center"/>
    </xf>
    <xf numFmtId="0" fontId="11" fillId="0" borderId="0" xfId="0" applyNumberFormat="1" applyFont="1" applyFill="1" applyAlignment="1">
      <alignment vertical="top" wrapText="1"/>
    </xf>
    <xf numFmtId="0" fontId="11" fillId="0" borderId="0" xfId="0" applyNumberFormat="1" applyFont="1" applyFill="1" applyAlignment="1">
      <alignment wrapText="1"/>
    </xf>
    <xf numFmtId="0" fontId="16" fillId="0" borderId="0" xfId="0" applyNumberFormat="1" applyFont="1" applyFill="1" applyAlignment="1">
      <alignment horizontal="left"/>
    </xf>
    <xf numFmtId="0" fontId="11" fillId="0" borderId="0" xfId="0" applyNumberFormat="1" applyFont="1"/>
    <xf numFmtId="0" fontId="9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Alignment="1"/>
    <xf numFmtId="0" fontId="5" fillId="0" borderId="0" xfId="0" applyNumberFormat="1" applyFont="1" applyFill="1" applyAlignment="1">
      <alignment horizontal="left"/>
    </xf>
    <xf numFmtId="0" fontId="4" fillId="0" borderId="0" xfId="0" applyNumberFormat="1" applyFont="1" applyFill="1"/>
    <xf numFmtId="0" fontId="4" fillId="0" borderId="0" xfId="0" applyNumberFormat="1" applyFont="1"/>
    <xf numFmtId="0" fontId="0" fillId="0" borderId="0" xfId="0" applyNumberFormat="1" applyFont="1" applyFill="1" applyAlignment="1">
      <alignment horizontal="left"/>
    </xf>
    <xf numFmtId="0" fontId="17" fillId="0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left"/>
    </xf>
    <xf numFmtId="0" fontId="20" fillId="4" borderId="1" xfId="0" applyNumberFormat="1" applyFont="1" applyFill="1" applyBorder="1" applyAlignment="1">
      <alignment horizontal="left" vertical="center" wrapText="1"/>
    </xf>
    <xf numFmtId="0" fontId="21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left" vertical="center" wrapText="1"/>
    </xf>
    <xf numFmtId="0" fontId="11" fillId="4" borderId="1" xfId="0" applyNumberFormat="1" applyFont="1" applyFill="1" applyBorder="1" applyAlignment="1">
      <alignment vertical="center" wrapText="1"/>
    </xf>
    <xf numFmtId="0" fontId="0" fillId="0" borderId="0" xfId="0" applyNumberFormat="1" applyFont="1" applyFill="1" applyAlignment="1">
      <alignment vertical="center"/>
    </xf>
    <xf numFmtId="0" fontId="10" fillId="0" borderId="0" xfId="0" applyNumberFormat="1" applyFont="1" applyFill="1" applyAlignment="1">
      <alignment horizontal="left"/>
    </xf>
    <xf numFmtId="178" fontId="13" fillId="0" borderId="1" xfId="0" applyFont="1" applyFill="1" applyBorder="1" applyAlignment="1">
      <alignment vertical="center" wrapText="1"/>
    </xf>
    <xf numFmtId="178" fontId="0" fillId="0" borderId="1" xfId="0" applyFont="1" applyFill="1" applyBorder="1" applyAlignment="1">
      <alignment horizontal="center" vertical="center" wrapText="1"/>
    </xf>
    <xf numFmtId="178" fontId="0" fillId="0" borderId="7" xfId="0" applyFont="1" applyFill="1" applyBorder="1" applyAlignment="1">
      <alignment horizontal="center" vertical="center" wrapText="1"/>
    </xf>
    <xf numFmtId="178" fontId="11" fillId="0" borderId="0" xfId="0" applyFont="1" applyFill="1" applyBorder="1" applyAlignment="1">
      <alignment horizontal="center"/>
    </xf>
    <xf numFmtId="12" fontId="22" fillId="2" borderId="1" xfId="1" applyNumberFormat="1" applyFont="1" applyFill="1" applyBorder="1" applyAlignment="1">
      <alignment horizontal="center" vertical="center" wrapText="1"/>
    </xf>
    <xf numFmtId="12" fontId="13" fillId="0" borderId="4" xfId="0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 wrapText="1"/>
    </xf>
    <xf numFmtId="12" fontId="0" fillId="4" borderId="4" xfId="0" applyNumberFormat="1" applyFont="1" applyFill="1" applyBorder="1" applyAlignment="1">
      <alignment horizontal="center" vertical="center"/>
    </xf>
    <xf numFmtId="12" fontId="13" fillId="0" borderId="3" xfId="0" applyNumberFormat="1" applyFont="1" applyFill="1" applyBorder="1" applyAlignment="1">
      <alignment horizontal="center" vertical="center"/>
    </xf>
    <xf numFmtId="12" fontId="13" fillId="0" borderId="5" xfId="0" applyNumberFormat="1" applyFont="1" applyFill="1" applyBorder="1" applyAlignment="1">
      <alignment horizontal="center" vertical="center"/>
    </xf>
    <xf numFmtId="12" fontId="21" fillId="4" borderId="1" xfId="0" applyNumberFormat="1" applyFont="1" applyFill="1" applyBorder="1" applyAlignment="1">
      <alignment horizontal="center" vertical="center" wrapText="1"/>
    </xf>
    <xf numFmtId="178" fontId="10" fillId="0" borderId="0" xfId="0" applyFont="1" applyFill="1" applyAlignment="1">
      <alignment horizontal="center"/>
    </xf>
    <xf numFmtId="178" fontId="0" fillId="0" borderId="1" xfId="0" applyFont="1" applyFill="1" applyBorder="1" applyAlignment="1">
      <alignment horizontal="center" vertical="center"/>
    </xf>
    <xf numFmtId="178" fontId="11" fillId="0" borderId="0" xfId="0" applyFont="1" applyFill="1" applyAlignment="1">
      <alignment horizontal="left"/>
    </xf>
    <xf numFmtId="178" fontId="0" fillId="0" borderId="0" xfId="0" applyFont="1" applyFill="1" applyAlignment="1">
      <alignment horizontal="left"/>
    </xf>
    <xf numFmtId="0" fontId="11" fillId="0" borderId="0" xfId="0" applyNumberFormat="1" applyFont="1" applyFill="1" applyBorder="1" applyAlignment="1">
      <alignment horizontal="left" vertical="center"/>
    </xf>
    <xf numFmtId="12" fontId="13" fillId="0" borderId="2" xfId="0" applyNumberFormat="1" applyFont="1" applyFill="1" applyBorder="1" applyAlignment="1">
      <alignment horizontal="center" vertical="center"/>
    </xf>
    <xf numFmtId="12" fontId="20" fillId="0" borderId="1" xfId="0" applyNumberFormat="1" applyFont="1" applyFill="1" applyBorder="1" applyAlignment="1">
      <alignment horizontal="center" vertical="center" wrapText="1"/>
    </xf>
    <xf numFmtId="12" fontId="0" fillId="0" borderId="0" xfId="0" applyNumberFormat="1" applyFont="1" applyFill="1" applyBorder="1" applyAlignment="1">
      <alignment horizontal="center" vertical="center"/>
    </xf>
    <xf numFmtId="12" fontId="13" fillId="0" borderId="0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178" fontId="0" fillId="0" borderId="8" xfId="0" applyFont="1" applyFill="1" applyBorder="1" applyAlignment="1">
      <alignment horizontal="center" vertical="center" wrapText="1"/>
    </xf>
    <xf numFmtId="178" fontId="21" fillId="0" borderId="4" xfId="0" applyFont="1" applyFill="1" applyBorder="1" applyAlignment="1">
      <alignment horizontal="center" vertical="center" wrapText="1"/>
    </xf>
    <xf numFmtId="0" fontId="21" fillId="0" borderId="4" xfId="0" applyNumberFormat="1" applyFont="1" applyFill="1" applyBorder="1" applyAlignment="1">
      <alignment horizontal="center" vertical="center" wrapText="1"/>
    </xf>
    <xf numFmtId="178" fontId="0" fillId="0" borderId="4" xfId="0" applyFont="1" applyFill="1" applyBorder="1" applyAlignment="1">
      <alignment vertical="center" wrapText="1"/>
    </xf>
    <xf numFmtId="178" fontId="21" fillId="0" borderId="4" xfId="0" applyFont="1" applyFill="1" applyBorder="1" applyAlignment="1">
      <alignment horizontal="left" vertical="center" wrapText="1"/>
    </xf>
    <xf numFmtId="180" fontId="20" fillId="0" borderId="1" xfId="0" applyNumberFormat="1" applyFont="1" applyFill="1" applyBorder="1" applyAlignment="1">
      <alignment horizontal="center" vertical="center" wrapText="1"/>
    </xf>
    <xf numFmtId="180" fontId="23" fillId="0" borderId="1" xfId="0" applyNumberFormat="1" applyFont="1" applyFill="1" applyBorder="1" applyAlignment="1">
      <alignment horizontal="center" vertical="center" wrapText="1"/>
    </xf>
    <xf numFmtId="12" fontId="11" fillId="0" borderId="1" xfId="0" applyNumberFormat="1" applyFont="1" applyFill="1" applyBorder="1" applyAlignment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 wrapText="1"/>
    </xf>
    <xf numFmtId="12" fontId="20" fillId="0" borderId="5" xfId="0" applyNumberFormat="1" applyFont="1" applyFill="1" applyBorder="1" applyAlignment="1">
      <alignment horizontal="center" vertical="center" wrapText="1"/>
    </xf>
    <xf numFmtId="12" fontId="24" fillId="0" borderId="1" xfId="0" applyNumberFormat="1" applyFont="1" applyFill="1" applyBorder="1" applyAlignment="1">
      <alignment horizontal="center" vertical="center" wrapText="1"/>
    </xf>
    <xf numFmtId="180" fontId="25" fillId="0" borderId="1" xfId="0" applyNumberFormat="1" applyFont="1" applyFill="1" applyBorder="1" applyAlignment="1">
      <alignment horizontal="center" vertical="center"/>
    </xf>
    <xf numFmtId="180" fontId="24" fillId="0" borderId="1" xfId="0" applyNumberFormat="1" applyFont="1" applyFill="1" applyBorder="1" applyAlignment="1">
      <alignment horizontal="center" vertical="center" wrapText="1"/>
    </xf>
    <xf numFmtId="179" fontId="24" fillId="0" borderId="1" xfId="0" applyNumberFormat="1" applyFont="1" applyFill="1" applyBorder="1" applyAlignment="1">
      <alignment horizontal="center" vertical="center" wrapText="1"/>
    </xf>
    <xf numFmtId="12" fontId="25" fillId="0" borderId="1" xfId="0" applyNumberFormat="1" applyFont="1" applyFill="1" applyBorder="1" applyAlignment="1">
      <alignment horizontal="center" vertical="center"/>
    </xf>
    <xf numFmtId="182" fontId="24" fillId="0" borderId="1" xfId="0" applyNumberFormat="1" applyFont="1" applyFill="1" applyBorder="1" applyAlignment="1">
      <alignment horizontal="center" vertical="center" wrapText="1"/>
    </xf>
    <xf numFmtId="183" fontId="11" fillId="0" borderId="0" xfId="0" applyNumberFormat="1" applyFont="1" applyFill="1" applyAlignment="1">
      <alignment horizontal="left"/>
    </xf>
    <xf numFmtId="178" fontId="10" fillId="0" borderId="0" xfId="0" applyFont="1" applyFill="1" applyAlignment="1">
      <alignment horizontal="center"/>
    </xf>
    <xf numFmtId="178" fontId="11" fillId="0" borderId="0" xfId="0" applyFont="1" applyFill="1" applyAlignment="1">
      <alignment horizontal="left"/>
    </xf>
    <xf numFmtId="178" fontId="0" fillId="0" borderId="0" xfId="0" applyFont="1" applyFill="1" applyAlignment="1">
      <alignment horizontal="left"/>
    </xf>
    <xf numFmtId="182" fontId="24" fillId="0" borderId="7" xfId="0" applyNumberFormat="1" applyFont="1" applyFill="1" applyBorder="1" applyAlignment="1">
      <alignment horizontal="center" vertical="center" wrapText="1"/>
    </xf>
    <xf numFmtId="0" fontId="21" fillId="0" borderId="7" xfId="0" applyNumberFormat="1" applyFont="1" applyFill="1" applyBorder="1" applyAlignment="1">
      <alignment horizontal="center" vertical="center" wrapText="1"/>
    </xf>
    <xf numFmtId="178" fontId="0" fillId="0" borderId="7" xfId="0" applyFont="1" applyFill="1" applyBorder="1" applyAlignment="1">
      <alignment vertical="center" wrapText="1"/>
    </xf>
    <xf numFmtId="178" fontId="21" fillId="0" borderId="7" xfId="0" applyFont="1" applyFill="1" applyBorder="1" applyAlignment="1">
      <alignment horizontal="left" vertical="center" wrapText="1"/>
    </xf>
    <xf numFmtId="12" fontId="0" fillId="0" borderId="12" xfId="0" applyNumberFormat="1" applyFont="1" applyFill="1" applyBorder="1" applyAlignment="1">
      <alignment horizontal="center" vertical="center"/>
    </xf>
    <xf numFmtId="12" fontId="20" fillId="0" borderId="7" xfId="0" applyNumberFormat="1" applyFont="1" applyFill="1" applyBorder="1" applyAlignment="1">
      <alignment horizontal="center" vertical="center" wrapText="1"/>
    </xf>
    <xf numFmtId="180" fontId="20" fillId="0" borderId="7" xfId="0" applyNumberFormat="1" applyFont="1" applyFill="1" applyBorder="1" applyAlignment="1">
      <alignment horizontal="center" vertical="center" wrapText="1"/>
    </xf>
    <xf numFmtId="180" fontId="11" fillId="0" borderId="7" xfId="0" applyNumberFormat="1" applyFont="1" applyFill="1" applyBorder="1" applyAlignment="1">
      <alignment horizontal="center" vertical="center" wrapText="1"/>
    </xf>
    <xf numFmtId="179" fontId="20" fillId="0" borderId="7" xfId="0" applyNumberFormat="1" applyFont="1" applyFill="1" applyBorder="1" applyAlignment="1">
      <alignment horizontal="center" vertical="center" wrapText="1"/>
    </xf>
    <xf numFmtId="179" fontId="21" fillId="0" borderId="7" xfId="0" applyNumberFormat="1" applyFont="1" applyFill="1" applyBorder="1" applyAlignment="1">
      <alignment horizontal="center" vertical="center" wrapText="1"/>
    </xf>
    <xf numFmtId="12" fontId="11" fillId="0" borderId="7" xfId="0" applyNumberFormat="1" applyFont="1" applyFill="1" applyBorder="1" applyAlignment="1">
      <alignment horizontal="center" vertical="center"/>
    </xf>
    <xf numFmtId="180" fontId="27" fillId="0" borderId="1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178" fontId="28" fillId="0" borderId="0" xfId="0" applyFont="1"/>
    <xf numFmtId="180" fontId="25" fillId="0" borderId="1" xfId="0" applyNumberFormat="1" applyFont="1" applyFill="1" applyBorder="1" applyAlignment="1">
      <alignment horizontal="center" vertical="center" wrapText="1"/>
    </xf>
    <xf numFmtId="179" fontId="29" fillId="0" borderId="1" xfId="0" applyNumberFormat="1" applyFont="1" applyFill="1" applyBorder="1" applyAlignment="1">
      <alignment horizontal="center" vertical="center" wrapText="1"/>
    </xf>
    <xf numFmtId="178" fontId="0" fillId="0" borderId="0" xfId="0" applyFont="1" applyFill="1" applyAlignment="1">
      <alignment horizontal="left"/>
    </xf>
    <xf numFmtId="178" fontId="11" fillId="0" borderId="0" xfId="0" applyFont="1" applyFill="1" applyAlignment="1">
      <alignment horizontal="left"/>
    </xf>
    <xf numFmtId="178" fontId="31" fillId="0" borderId="0" xfId="0" applyFont="1" applyFill="1" applyAlignment="1">
      <alignment horizontal="left"/>
    </xf>
    <xf numFmtId="178" fontId="32" fillId="0" borderId="0" xfId="0" applyFont="1" applyFill="1" applyAlignment="1">
      <alignment horizontal="left"/>
    </xf>
    <xf numFmtId="178" fontId="31" fillId="0" borderId="0" xfId="0" applyNumberFormat="1" applyFont="1" applyAlignment="1">
      <alignment horizontal="left"/>
    </xf>
    <xf numFmtId="178" fontId="33" fillId="0" borderId="0" xfId="0" applyFont="1" applyFill="1" applyAlignment="1">
      <alignment horizontal="left"/>
    </xf>
    <xf numFmtId="178" fontId="34" fillId="0" borderId="0" xfId="0" applyFont="1" applyFill="1" applyAlignment="1"/>
    <xf numFmtId="176" fontId="11" fillId="4" borderId="0" xfId="1" applyFont="1" applyFill="1" applyAlignment="1">
      <alignment horizontal="center"/>
    </xf>
    <xf numFmtId="178" fontId="10" fillId="4" borderId="0" xfId="0" applyFont="1" applyFill="1" applyAlignment="1">
      <alignment horizontal="center"/>
    </xf>
    <xf numFmtId="12" fontId="10" fillId="4" borderId="0" xfId="0" applyNumberFormat="1" applyFont="1" applyFill="1" applyAlignment="1">
      <alignment horizontal="center"/>
    </xf>
    <xf numFmtId="12" fontId="9" fillId="4" borderId="1" xfId="1" applyNumberFormat="1" applyFont="1" applyFill="1" applyBorder="1" applyAlignment="1">
      <alignment horizontal="center" vertical="center" wrapText="1"/>
    </xf>
    <xf numFmtId="12" fontId="22" fillId="4" borderId="1" xfId="1" applyNumberFormat="1" applyFont="1" applyFill="1" applyBorder="1" applyAlignment="1">
      <alignment horizontal="center" vertical="center" wrapText="1"/>
    </xf>
    <xf numFmtId="12" fontId="0" fillId="4" borderId="5" xfId="0" applyNumberFormat="1" applyFont="1" applyFill="1" applyBorder="1" applyAlignment="1">
      <alignment horizontal="center" vertical="center"/>
    </xf>
    <xf numFmtId="178" fontId="17" fillId="4" borderId="0" xfId="0" applyFont="1" applyFill="1" applyBorder="1" applyAlignment="1">
      <alignment horizontal="center" vertical="center"/>
    </xf>
    <xf numFmtId="12" fontId="5" fillId="4" borderId="0" xfId="0" applyNumberFormat="1" applyFont="1" applyFill="1" applyAlignment="1">
      <alignment horizontal="center"/>
    </xf>
    <xf numFmtId="178" fontId="4" fillId="4" borderId="0" xfId="0" applyFont="1" applyFill="1"/>
    <xf numFmtId="178" fontId="35" fillId="0" borderId="1" xfId="0" applyFont="1" applyFill="1" applyBorder="1" applyAlignment="1">
      <alignment horizontal="center" vertical="center" wrapText="1"/>
    </xf>
    <xf numFmtId="178" fontId="31" fillId="0" borderId="1" xfId="0" applyFont="1" applyFill="1" applyBorder="1" applyAlignment="1">
      <alignment vertical="center" wrapText="1"/>
    </xf>
    <xf numFmtId="178" fontId="31" fillId="6" borderId="1" xfId="0" applyFont="1" applyFill="1" applyBorder="1" applyAlignment="1">
      <alignment vertical="center" wrapText="1"/>
    </xf>
    <xf numFmtId="178" fontId="31" fillId="7" borderId="1" xfId="0" applyFont="1" applyFill="1" applyBorder="1" applyAlignment="1">
      <alignment vertical="center" wrapText="1"/>
    </xf>
    <xf numFmtId="0" fontId="21" fillId="8" borderId="1" xfId="0" applyNumberFormat="1" applyFont="1" applyFill="1" applyBorder="1" applyAlignment="1">
      <alignment horizontal="center" vertical="center" wrapText="1"/>
    </xf>
    <xf numFmtId="0" fontId="21" fillId="9" borderId="1" xfId="0" applyNumberFormat="1" applyFont="1" applyFill="1" applyBorder="1" applyAlignment="1">
      <alignment horizontal="center" vertical="center" wrapText="1"/>
    </xf>
    <xf numFmtId="176" fontId="11" fillId="9" borderId="0" xfId="1" applyFont="1" applyFill="1" applyAlignment="1">
      <alignment horizontal="center"/>
    </xf>
    <xf numFmtId="178" fontId="10" fillId="9" borderId="0" xfId="0" applyFont="1" applyFill="1" applyAlignment="1">
      <alignment horizontal="center"/>
    </xf>
    <xf numFmtId="12" fontId="10" fillId="9" borderId="0" xfId="0" applyNumberFormat="1" applyFont="1" applyFill="1" applyAlignment="1">
      <alignment horizontal="center"/>
    </xf>
    <xf numFmtId="12" fontId="9" fillId="9" borderId="1" xfId="1" applyNumberFormat="1" applyFont="1" applyFill="1" applyBorder="1" applyAlignment="1">
      <alignment horizontal="center" vertical="center" wrapText="1"/>
    </xf>
    <xf numFmtId="12" fontId="0" fillId="9" borderId="5" xfId="0" applyNumberFormat="1" applyFont="1" applyFill="1" applyBorder="1" applyAlignment="1">
      <alignment horizontal="center" vertical="center"/>
    </xf>
    <xf numFmtId="178" fontId="17" fillId="9" borderId="0" xfId="0" applyFont="1" applyFill="1" applyBorder="1" applyAlignment="1">
      <alignment horizontal="center" vertical="center"/>
    </xf>
    <xf numFmtId="12" fontId="5" fillId="9" borderId="0" xfId="0" applyNumberFormat="1" applyFont="1" applyFill="1" applyAlignment="1">
      <alignment horizontal="center"/>
    </xf>
    <xf numFmtId="178" fontId="4" fillId="9" borderId="0" xfId="0" applyFont="1" applyFill="1"/>
    <xf numFmtId="178" fontId="8" fillId="0" borderId="0" xfId="0" applyFont="1" applyBorder="1" applyAlignment="1">
      <alignment horizontal="center"/>
    </xf>
    <xf numFmtId="176" fontId="9" fillId="0" borderId="0" xfId="1" applyFont="1" applyFill="1" applyAlignment="1">
      <alignment horizontal="center"/>
    </xf>
    <xf numFmtId="176" fontId="0" fillId="0" borderId="0" xfId="1" applyFont="1" applyFill="1" applyBorder="1" applyAlignment="1">
      <alignment horizontal="center"/>
    </xf>
    <xf numFmtId="178" fontId="12" fillId="0" borderId="6" xfId="0" applyFont="1" applyFill="1" applyBorder="1" applyAlignment="1">
      <alignment horizontal="center"/>
    </xf>
    <xf numFmtId="178" fontId="11" fillId="0" borderId="2" xfId="0" applyFont="1" applyFill="1" applyBorder="1" applyAlignment="1">
      <alignment horizontal="center"/>
    </xf>
    <xf numFmtId="12" fontId="31" fillId="4" borderId="2" xfId="0" applyNumberFormat="1" applyFont="1" applyFill="1" applyBorder="1" applyAlignment="1">
      <alignment horizontal="center"/>
    </xf>
    <xf numFmtId="176" fontId="20" fillId="3" borderId="3" xfId="1" applyFont="1" applyFill="1" applyBorder="1" applyAlignment="1">
      <alignment horizontal="center" vertical="center" wrapText="1"/>
    </xf>
    <xf numFmtId="176" fontId="20" fillId="3" borderId="4" xfId="1" applyFont="1" applyFill="1" applyBorder="1" applyAlignment="1">
      <alignment horizontal="center" vertical="center" wrapText="1"/>
    </xf>
    <xf numFmtId="178" fontId="0" fillId="0" borderId="1" xfId="0" applyFont="1" applyFill="1" applyBorder="1" applyAlignment="1">
      <alignment horizontal="center" vertical="center"/>
    </xf>
    <xf numFmtId="178" fontId="11" fillId="0" borderId="0" xfId="0" applyFont="1" applyFill="1" applyBorder="1" applyAlignment="1">
      <alignment horizontal="left"/>
    </xf>
    <xf numFmtId="178" fontId="10" fillId="0" borderId="0" xfId="0" applyFont="1" applyFill="1" applyAlignment="1">
      <alignment horizontal="center"/>
    </xf>
    <xf numFmtId="178" fontId="7" fillId="0" borderId="0" xfId="0" applyFont="1" applyFill="1" applyBorder="1" applyAlignment="1">
      <alignment horizontal="center"/>
    </xf>
    <xf numFmtId="182" fontId="24" fillId="0" borderId="7" xfId="0" applyNumberFormat="1" applyFont="1" applyFill="1" applyBorder="1" applyAlignment="1">
      <alignment horizontal="center" vertical="center" wrapText="1"/>
    </xf>
    <xf numFmtId="182" fontId="24" fillId="0" borderId="10" xfId="0" applyNumberFormat="1" applyFont="1" applyFill="1" applyBorder="1" applyAlignment="1">
      <alignment horizontal="center" vertical="center" wrapText="1"/>
    </xf>
    <xf numFmtId="182" fontId="24" fillId="0" borderId="11" xfId="0" applyNumberFormat="1" applyFont="1" applyFill="1" applyBorder="1" applyAlignment="1">
      <alignment horizontal="center" vertical="center" wrapText="1"/>
    </xf>
    <xf numFmtId="176" fontId="20" fillId="3" borderId="5" xfId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/>
    </xf>
  </cellXfs>
  <cellStyles count="5">
    <cellStyle name="常规" xfId="0" builtinId="0" customBuiltin="1"/>
    <cellStyle name="常规 2" xfId="3" xr:uid="{00000000-0005-0000-0000-000001000000}"/>
    <cellStyle name="常规 3" xfId="4" xr:uid="{00000000-0005-0000-0000-000002000000}"/>
    <cellStyle name="常规 4" xfId="2" xr:uid="{00000000-0005-0000-0000-000003000000}"/>
    <cellStyle name="常规_Sheet1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43"/>
  <sheetViews>
    <sheetView tabSelected="1" topLeftCell="C1" zoomScale="115" zoomScaleNormal="115" zoomScaleSheetLayoutView="70" workbookViewId="0">
      <selection activeCell="K21" sqref="K21"/>
    </sheetView>
  </sheetViews>
  <sheetFormatPr defaultRowHeight="15"/>
  <cols>
    <col min="1" max="1" width="13.375" style="93" bestFit="1" customWidth="1"/>
    <col min="2" max="2" width="26.625" style="1" customWidth="1"/>
    <col min="3" max="3" width="20.25" style="1" customWidth="1"/>
    <col min="4" max="4" width="18.875" style="93" customWidth="1"/>
    <col min="5" max="5" width="18.875" style="93" hidden="1" customWidth="1"/>
    <col min="6" max="6" width="19.875" style="1" customWidth="1"/>
    <col min="7" max="7" width="24.375" style="1" customWidth="1"/>
    <col min="8" max="8" width="21.875" style="1" customWidth="1"/>
    <col min="9" max="9" width="21.25" style="1" customWidth="1"/>
    <col min="10" max="10" width="15.5" style="1" customWidth="1"/>
    <col min="11" max="11" width="8.125" style="1" customWidth="1"/>
    <col min="12" max="12" width="5.625" style="1" customWidth="1"/>
    <col min="13" max="13" width="7.5" style="1" customWidth="1"/>
    <col min="14" max="14" width="5.875" style="1" customWidth="1"/>
    <col min="15" max="15" width="7.75" style="1" customWidth="1"/>
    <col min="16" max="16" width="9.75" style="189" customWidth="1"/>
    <col min="17" max="17" width="9.25" style="175" customWidth="1"/>
    <col min="18" max="18" width="9.5" style="175" customWidth="1"/>
    <col min="19" max="19" width="9" style="175" customWidth="1"/>
    <col min="20" max="20" width="12.75" style="175" customWidth="1"/>
    <col min="21" max="21" width="9" style="1" customWidth="1"/>
    <col min="22" max="22" width="10.25" style="1" customWidth="1"/>
    <col min="23" max="23" width="10" style="1" customWidth="1"/>
    <col min="24" max="24" width="11.375" style="53" customWidth="1"/>
    <col min="25" max="27" width="11.5" style="53" customWidth="1"/>
    <col min="28" max="32" width="13.125" style="68" customWidth="1"/>
    <col min="33" max="33" width="20.25" style="72" customWidth="1"/>
    <col min="34" max="34" width="33.75" style="1" customWidth="1"/>
    <col min="35" max="16384" width="9" style="1"/>
  </cols>
  <sheetData>
    <row r="1" spans="1:34" ht="20.25">
      <c r="A1" s="190" t="s">
        <v>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</row>
    <row r="2" spans="1:34" ht="15.75">
      <c r="A2" s="191" t="s">
        <v>4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</row>
    <row r="3" spans="1:34">
      <c r="A3" s="192" t="s">
        <v>3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</row>
    <row r="4" spans="1:34">
      <c r="A4" s="82"/>
      <c r="B4" s="10"/>
      <c r="C4" s="10"/>
      <c r="D4" s="82"/>
      <c r="E4" s="82"/>
      <c r="F4" s="10"/>
      <c r="G4" s="10"/>
      <c r="H4" s="10"/>
      <c r="I4" s="10"/>
      <c r="J4" s="10"/>
      <c r="K4" s="10"/>
      <c r="L4" s="10"/>
      <c r="M4" s="10"/>
      <c r="N4" s="10"/>
      <c r="O4" s="10"/>
      <c r="P4" s="182"/>
      <c r="Q4" s="167"/>
      <c r="R4" s="167"/>
      <c r="S4" s="167"/>
      <c r="T4" s="167"/>
      <c r="U4" s="10"/>
      <c r="V4" s="10"/>
      <c r="W4" s="10"/>
      <c r="X4" s="46"/>
      <c r="Y4" s="46"/>
      <c r="Z4" s="46"/>
      <c r="AA4" s="46"/>
      <c r="AB4" s="59"/>
      <c r="AC4" s="59"/>
      <c r="AD4" s="59"/>
      <c r="AE4" s="59"/>
      <c r="AF4" s="59"/>
      <c r="AG4" s="10"/>
      <c r="AH4" s="10"/>
    </row>
    <row r="5" spans="1:34" ht="24" thickBot="1">
      <c r="A5" s="193" t="s">
        <v>87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</row>
    <row r="6" spans="1:34" ht="15.75" customHeight="1" thickTop="1">
      <c r="A6" s="83" t="s">
        <v>2</v>
      </c>
      <c r="B6" s="162" t="s">
        <v>92</v>
      </c>
      <c r="C6" s="117"/>
      <c r="D6" s="94"/>
      <c r="E6" s="94"/>
      <c r="F6" s="117"/>
      <c r="G6" s="117"/>
      <c r="H6" s="31"/>
      <c r="I6" s="31"/>
      <c r="J6" s="114"/>
      <c r="K6" s="114"/>
      <c r="L6" s="114"/>
      <c r="M6" s="114"/>
      <c r="N6" s="114"/>
      <c r="O6" s="114"/>
      <c r="P6" s="183"/>
      <c r="Q6" s="168"/>
      <c r="R6" s="168"/>
      <c r="S6" s="168"/>
      <c r="T6" s="168"/>
      <c r="U6" s="13"/>
      <c r="V6" s="13"/>
      <c r="W6" s="13"/>
      <c r="X6" s="47"/>
      <c r="Y6" s="47"/>
      <c r="Z6" s="47"/>
      <c r="AA6" s="47"/>
      <c r="AB6" s="60"/>
      <c r="AC6" s="60"/>
      <c r="AD6" s="60"/>
      <c r="AE6" s="60"/>
      <c r="AF6" s="60"/>
      <c r="AG6" s="116" t="s">
        <v>23</v>
      </c>
      <c r="AH6" s="162" t="s">
        <v>98</v>
      </c>
    </row>
    <row r="7" spans="1:34" ht="15.75">
      <c r="A7" s="83" t="s">
        <v>6</v>
      </c>
      <c r="B7" s="162" t="s">
        <v>93</v>
      </c>
      <c r="C7" s="117"/>
      <c r="D7" s="94"/>
      <c r="E7" s="102"/>
      <c r="F7" s="117"/>
      <c r="G7" s="117"/>
      <c r="H7" s="31"/>
      <c r="I7" s="31"/>
      <c r="J7" s="12"/>
      <c r="K7" s="14"/>
      <c r="L7" s="114"/>
      <c r="M7" s="114"/>
      <c r="N7" s="114"/>
      <c r="O7" s="14"/>
      <c r="P7" s="184"/>
      <c r="Q7" s="169"/>
      <c r="R7" s="169"/>
      <c r="S7" s="169"/>
      <c r="T7" s="169"/>
      <c r="U7" s="13"/>
      <c r="V7" s="13"/>
      <c r="W7" s="13"/>
      <c r="X7" s="47"/>
      <c r="Y7" s="47"/>
      <c r="Z7" s="47"/>
      <c r="AA7" s="47"/>
      <c r="AB7" s="60"/>
      <c r="AC7" s="60"/>
      <c r="AD7" s="60"/>
      <c r="AE7" s="60"/>
      <c r="AF7" s="60"/>
      <c r="AG7" s="116" t="s">
        <v>26</v>
      </c>
      <c r="AH7" s="162" t="s">
        <v>99</v>
      </c>
    </row>
    <row r="8" spans="1:34" ht="15.75">
      <c r="A8" s="83"/>
      <c r="B8" s="162" t="s">
        <v>94</v>
      </c>
      <c r="C8" s="117"/>
      <c r="D8" s="94"/>
      <c r="E8" s="102"/>
      <c r="F8" s="117"/>
      <c r="G8" s="117"/>
      <c r="H8" s="31"/>
      <c r="I8" s="31"/>
      <c r="J8" s="12"/>
      <c r="K8" s="14"/>
      <c r="L8" s="114"/>
      <c r="M8" s="114"/>
      <c r="N8" s="114"/>
      <c r="O8" s="14"/>
      <c r="P8" s="184"/>
      <c r="Q8" s="169"/>
      <c r="R8" s="169"/>
      <c r="S8" s="169"/>
      <c r="T8" s="169"/>
      <c r="U8" s="13"/>
      <c r="V8" s="13"/>
      <c r="W8" s="13"/>
      <c r="X8" s="47"/>
      <c r="Y8" s="47"/>
      <c r="Z8" s="47"/>
      <c r="AA8" s="47"/>
      <c r="AB8" s="60"/>
      <c r="AC8" s="60"/>
      <c r="AD8" s="60"/>
      <c r="AE8" s="60"/>
      <c r="AF8" s="60"/>
      <c r="AG8" s="116" t="s">
        <v>12</v>
      </c>
      <c r="AH8" s="162" t="s">
        <v>100</v>
      </c>
    </row>
    <row r="9" spans="1:34" ht="15.75" customHeight="1">
      <c r="A9" s="84" t="s">
        <v>7</v>
      </c>
      <c r="B9" s="162" t="s">
        <v>95</v>
      </c>
      <c r="C9" s="117"/>
      <c r="D9" s="94"/>
      <c r="E9" s="102"/>
      <c r="F9" s="117"/>
      <c r="G9" s="117"/>
      <c r="H9" s="31"/>
      <c r="I9" s="31"/>
      <c r="J9" s="12"/>
      <c r="K9" s="14"/>
      <c r="L9" s="114"/>
      <c r="M9" s="114"/>
      <c r="N9" s="114"/>
      <c r="O9" s="14"/>
      <c r="P9" s="184"/>
      <c r="Q9" s="169"/>
      <c r="R9" s="169"/>
      <c r="S9" s="169"/>
      <c r="T9" s="169"/>
      <c r="U9" s="13"/>
      <c r="V9" s="13"/>
      <c r="W9" s="13"/>
      <c r="X9" s="47"/>
      <c r="Y9" s="47"/>
      <c r="Z9" s="47"/>
      <c r="AA9" s="47"/>
      <c r="AB9" s="60"/>
      <c r="AC9" s="60"/>
      <c r="AD9" s="60"/>
      <c r="AE9" s="60"/>
      <c r="AF9" s="60"/>
      <c r="AG9" s="116" t="s">
        <v>13</v>
      </c>
      <c r="AH9" s="162" t="s">
        <v>101</v>
      </c>
    </row>
    <row r="10" spans="1:34" ht="15.75">
      <c r="A10" s="84" t="s">
        <v>8</v>
      </c>
      <c r="B10" s="117"/>
      <c r="C10" s="117"/>
      <c r="D10" s="94"/>
      <c r="E10" s="94"/>
      <c r="F10" s="117"/>
      <c r="G10" s="117"/>
      <c r="H10" s="12"/>
      <c r="I10" s="12"/>
      <c r="J10" s="12"/>
      <c r="K10" s="14"/>
      <c r="L10" s="114"/>
      <c r="M10" s="114"/>
      <c r="N10" s="114"/>
      <c r="O10" s="14"/>
      <c r="P10" s="184"/>
      <c r="Q10" s="169"/>
      <c r="R10" s="169"/>
      <c r="S10" s="169"/>
      <c r="T10" s="169"/>
      <c r="U10" s="13"/>
      <c r="V10" s="13"/>
      <c r="W10" s="13"/>
      <c r="X10" s="47"/>
      <c r="Y10" s="47"/>
      <c r="Z10" s="47"/>
      <c r="AA10" s="47"/>
      <c r="AB10" s="60"/>
      <c r="AC10" s="60"/>
      <c r="AD10" s="60"/>
      <c r="AE10" s="60"/>
      <c r="AF10" s="60"/>
      <c r="AG10" s="116" t="s">
        <v>14</v>
      </c>
      <c r="AH10" s="162" t="s">
        <v>102</v>
      </c>
    </row>
    <row r="11" spans="1:34" ht="15.75">
      <c r="A11" s="85" t="s">
        <v>11</v>
      </c>
      <c r="B11" s="163" t="s">
        <v>96</v>
      </c>
      <c r="C11" s="18"/>
      <c r="D11" s="95"/>
      <c r="E11" s="95"/>
      <c r="F11" s="18"/>
      <c r="G11" s="18"/>
      <c r="H11" s="16"/>
      <c r="I11" s="16"/>
      <c r="J11" s="114"/>
      <c r="K11" s="14"/>
      <c r="L11" s="114"/>
      <c r="M11" s="114"/>
      <c r="N11" s="114"/>
      <c r="O11" s="14"/>
      <c r="P11" s="184"/>
      <c r="Q11" s="169"/>
      <c r="R11" s="169"/>
      <c r="S11" s="169"/>
      <c r="T11" s="169"/>
      <c r="U11" s="13"/>
      <c r="V11" s="13"/>
      <c r="W11" s="13"/>
      <c r="X11" s="47"/>
      <c r="Y11" s="47"/>
      <c r="Z11" s="47"/>
      <c r="AA11" s="47"/>
      <c r="AB11" s="60"/>
      <c r="AC11" s="60"/>
      <c r="AD11" s="60"/>
      <c r="AE11" s="60"/>
      <c r="AF11" s="60"/>
      <c r="AG11" s="116" t="s">
        <v>15</v>
      </c>
      <c r="AH11" s="162" t="s">
        <v>103</v>
      </c>
    </row>
    <row r="12" spans="1:34" ht="15.75">
      <c r="A12" s="85" t="s">
        <v>9</v>
      </c>
      <c r="B12" s="164" t="s">
        <v>97</v>
      </c>
      <c r="C12" s="40"/>
      <c r="D12" s="96"/>
      <c r="E12" s="96"/>
      <c r="F12" s="40"/>
      <c r="G12" s="40"/>
      <c r="H12" s="15"/>
      <c r="I12" s="15"/>
      <c r="J12" s="15"/>
      <c r="K12" s="14"/>
      <c r="L12" s="114"/>
      <c r="M12" s="114"/>
      <c r="N12" s="114"/>
      <c r="O12" s="14"/>
      <c r="P12" s="184"/>
      <c r="Q12" s="169"/>
      <c r="R12" s="169"/>
      <c r="S12" s="169"/>
      <c r="T12" s="169"/>
      <c r="U12" s="13"/>
      <c r="V12" s="13"/>
      <c r="W12" s="13"/>
      <c r="X12" s="47"/>
      <c r="Y12" s="47"/>
      <c r="Z12" s="47"/>
      <c r="AA12" s="47"/>
      <c r="AB12" s="60"/>
      <c r="AC12" s="60"/>
      <c r="AD12" s="60"/>
      <c r="AE12" s="60"/>
      <c r="AF12" s="60"/>
      <c r="AG12" s="116" t="s">
        <v>28</v>
      </c>
      <c r="AH12" s="162" t="s">
        <v>104</v>
      </c>
    </row>
    <row r="13" spans="1:34" ht="15.75">
      <c r="A13" s="86" t="s">
        <v>10</v>
      </c>
      <c r="B13" s="41"/>
      <c r="C13" s="41"/>
      <c r="D13" s="95"/>
      <c r="E13" s="95"/>
      <c r="F13" s="41"/>
      <c r="G13" s="41"/>
      <c r="H13" s="16"/>
      <c r="I13" s="16"/>
      <c r="J13" s="114"/>
      <c r="K13" s="14"/>
      <c r="L13" s="114"/>
      <c r="M13" s="114"/>
      <c r="N13" s="114"/>
      <c r="O13" s="14"/>
      <c r="P13" s="184" t="s">
        <v>121</v>
      </c>
      <c r="Q13" s="169" t="s">
        <v>122</v>
      </c>
      <c r="R13" s="169" t="s">
        <v>123</v>
      </c>
      <c r="S13" s="169" t="s">
        <v>124</v>
      </c>
      <c r="T13" s="169" t="s">
        <v>125</v>
      </c>
      <c r="U13" s="166"/>
      <c r="V13" s="45"/>
      <c r="W13" s="45"/>
      <c r="X13" s="48"/>
      <c r="Y13" s="48"/>
      <c r="Z13" s="48"/>
      <c r="AA13" s="48"/>
      <c r="AB13" s="61"/>
      <c r="AC13" s="61"/>
      <c r="AD13" s="61"/>
      <c r="AE13" s="61"/>
      <c r="AF13" s="61"/>
      <c r="AH13" s="165" t="s">
        <v>105</v>
      </c>
    </row>
    <row r="14" spans="1:34">
      <c r="A14" s="85"/>
      <c r="B14" s="18"/>
      <c r="C14" s="18"/>
      <c r="D14" s="95"/>
      <c r="E14" s="95"/>
      <c r="F14" s="18"/>
      <c r="G14" s="18"/>
      <c r="H14" s="19"/>
      <c r="I14" s="19"/>
      <c r="J14" s="20"/>
      <c r="K14" s="21"/>
      <c r="L14" s="20"/>
      <c r="M14" s="20"/>
      <c r="N14" s="20"/>
      <c r="O14" s="21"/>
      <c r="P14" s="195" t="s">
        <v>117</v>
      </c>
      <c r="Q14" s="195"/>
      <c r="R14" s="195"/>
      <c r="S14" s="195"/>
      <c r="T14" s="195"/>
      <c r="U14" s="116"/>
      <c r="V14" s="194" t="s">
        <v>34</v>
      </c>
      <c r="W14" s="194"/>
      <c r="X14" s="194" t="s">
        <v>33</v>
      </c>
      <c r="Y14" s="194"/>
      <c r="Z14" s="106"/>
      <c r="AA14" s="106"/>
      <c r="AB14" s="62"/>
      <c r="AC14" s="62"/>
      <c r="AD14" s="62"/>
      <c r="AE14" s="62"/>
      <c r="AF14" s="62"/>
      <c r="AG14" s="17" t="s">
        <v>27</v>
      </c>
      <c r="AH14" s="163" t="s">
        <v>106</v>
      </c>
    </row>
    <row r="15" spans="1:34" ht="28.5" customHeight="1">
      <c r="A15" s="87" t="s">
        <v>107</v>
      </c>
      <c r="B15" s="22" t="s">
        <v>108</v>
      </c>
      <c r="C15" s="22" t="s">
        <v>109</v>
      </c>
      <c r="D15" s="87" t="s">
        <v>110</v>
      </c>
      <c r="E15" s="87" t="s">
        <v>40</v>
      </c>
      <c r="F15" s="22" t="s">
        <v>111</v>
      </c>
      <c r="G15" s="22" t="s">
        <v>112</v>
      </c>
      <c r="H15" s="22" t="s">
        <v>113</v>
      </c>
      <c r="I15" s="22" t="s">
        <v>114</v>
      </c>
      <c r="J15" s="22" t="s">
        <v>115</v>
      </c>
      <c r="K15" s="23" t="s">
        <v>17</v>
      </c>
      <c r="L15" s="24" t="s">
        <v>0</v>
      </c>
      <c r="M15" s="24" t="s">
        <v>18</v>
      </c>
      <c r="N15" s="24" t="s">
        <v>0</v>
      </c>
      <c r="O15" s="23" t="s">
        <v>19</v>
      </c>
      <c r="P15" s="185" t="s">
        <v>79</v>
      </c>
      <c r="Q15" s="170" t="s">
        <v>67</v>
      </c>
      <c r="R15" s="170" t="s">
        <v>68</v>
      </c>
      <c r="S15" s="170" t="s">
        <v>69</v>
      </c>
      <c r="T15" s="171" t="s">
        <v>80</v>
      </c>
      <c r="U15" s="25" t="s">
        <v>24</v>
      </c>
      <c r="V15" s="49" t="s">
        <v>35</v>
      </c>
      <c r="W15" s="49" t="s">
        <v>36</v>
      </c>
      <c r="X15" s="49" t="s">
        <v>35</v>
      </c>
      <c r="Y15" s="49" t="s">
        <v>36</v>
      </c>
      <c r="Z15" s="49" t="s">
        <v>63</v>
      </c>
      <c r="AA15" s="49" t="s">
        <v>64</v>
      </c>
      <c r="AB15" s="63" t="s">
        <v>37</v>
      </c>
      <c r="AC15" s="63" t="s">
        <v>42</v>
      </c>
      <c r="AD15" s="63" t="s">
        <v>41</v>
      </c>
      <c r="AE15" s="63" t="s">
        <v>52</v>
      </c>
      <c r="AF15" s="76" t="s">
        <v>20</v>
      </c>
      <c r="AG15" s="26" t="s">
        <v>20</v>
      </c>
      <c r="AH15" s="26" t="s">
        <v>29</v>
      </c>
    </row>
    <row r="16" spans="1:34" ht="22.5" customHeight="1">
      <c r="A16" s="196" t="s">
        <v>66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</row>
    <row r="17" spans="1:34" ht="22.5" customHeight="1">
      <c r="A17" s="88" t="str">
        <f>IF(B17&lt;&gt;"",COUNTA($B$16:B17),"")</f>
        <v/>
      </c>
      <c r="B17" s="104"/>
      <c r="C17" s="33"/>
      <c r="D17" s="97" t="s">
        <v>57</v>
      </c>
      <c r="E17" s="99"/>
      <c r="F17" s="78"/>
      <c r="G17" s="33"/>
      <c r="H17" s="37"/>
      <c r="I17" s="37"/>
      <c r="J17" s="33"/>
      <c r="K17" s="38"/>
      <c r="L17" s="80"/>
      <c r="M17" s="38"/>
      <c r="N17" s="35"/>
      <c r="O17" s="36"/>
      <c r="P17" s="186"/>
      <c r="Q17" s="172"/>
      <c r="R17" s="172"/>
      <c r="S17" s="172"/>
      <c r="T17" s="172"/>
      <c r="U17" s="71"/>
      <c r="V17" s="50"/>
      <c r="W17" s="50"/>
      <c r="X17" s="50"/>
      <c r="Y17" s="50"/>
      <c r="Z17" s="50"/>
      <c r="AA17" s="50"/>
      <c r="AB17" s="64"/>
      <c r="AC17" s="64"/>
      <c r="AD17" s="64"/>
      <c r="AE17" s="64"/>
      <c r="AF17" s="64"/>
      <c r="AG17" s="64"/>
      <c r="AH17" s="42" t="str">
        <f t="shared" ref="AH17:AH80" si="0">IF(K17&lt;&gt;"",U17*AG17,"")</f>
        <v/>
      </c>
    </row>
    <row r="18" spans="1:34" ht="27.75">
      <c r="A18" s="89">
        <f>IF(B18&lt;&gt;"",COUNTA($B$16:B18),"")</f>
        <v>1</v>
      </c>
      <c r="B18" s="105" t="s">
        <v>70</v>
      </c>
      <c r="C18" s="33" t="s">
        <v>43</v>
      </c>
      <c r="D18" s="180">
        <v>1</v>
      </c>
      <c r="E18" s="98"/>
      <c r="F18" s="176" t="s">
        <v>118</v>
      </c>
      <c r="G18" s="33" t="s">
        <v>119</v>
      </c>
      <c r="H18" s="177" t="s">
        <v>120</v>
      </c>
      <c r="I18" s="178" t="s">
        <v>129</v>
      </c>
      <c r="J18" s="39" t="s">
        <v>128</v>
      </c>
      <c r="K18" s="34">
        <v>97.375</v>
      </c>
      <c r="L18" s="35" t="str">
        <f t="shared" ref="L18:L21" si="1">IF(K18&lt;&gt;"","X","")</f>
        <v>X</v>
      </c>
      <c r="M18" s="35">
        <v>43.625</v>
      </c>
      <c r="N18" s="35" t="str">
        <f t="shared" ref="N18:N21" si="2">IF(M18&lt;&gt;"","X","")</f>
        <v>X</v>
      </c>
      <c r="O18" s="36">
        <v>1.25</v>
      </c>
      <c r="P18" s="186">
        <v>2</v>
      </c>
      <c r="Q18" s="172">
        <v>2</v>
      </c>
      <c r="R18" s="172">
        <v>2</v>
      </c>
      <c r="S18" s="172">
        <v>2</v>
      </c>
      <c r="T18" s="172"/>
      <c r="U18" s="71">
        <f>SUM(P18:T18)</f>
        <v>8</v>
      </c>
      <c r="V18" s="50">
        <f>K18*M18/144</f>
        <v>29.499891493055557</v>
      </c>
      <c r="W18" s="50">
        <f>V18*U18</f>
        <v>235.99913194444446</v>
      </c>
      <c r="X18" s="109">
        <v>29.49</v>
      </c>
      <c r="Y18" s="50">
        <f t="shared" ref="Y18:Y21" si="3">X18*U18</f>
        <v>235.92</v>
      </c>
      <c r="Z18" s="50">
        <f t="shared" ref="Z18:Z46" si="4">V18*0.09290304</f>
        <v>2.7406295993750005</v>
      </c>
      <c r="AA18" s="50">
        <f t="shared" ref="AA18:AA46" si="5">Z18*U18</f>
        <v>21.925036795000004</v>
      </c>
      <c r="AB18" s="64">
        <v>4.01</v>
      </c>
      <c r="AC18" s="64"/>
      <c r="AD18" s="64"/>
      <c r="AE18" s="64"/>
      <c r="AF18" s="77">
        <f>SUM(AG18:AG21)</f>
        <v>176.10873155381944</v>
      </c>
      <c r="AG18" s="64">
        <f>K18*M18/144*AB18+(SUM(AC18:AE18))</f>
        <v>118.29456488715277</v>
      </c>
      <c r="AH18" s="42">
        <f t="shared" si="0"/>
        <v>946.35651909722219</v>
      </c>
    </row>
    <row r="19" spans="1:34" ht="22.5" customHeight="1">
      <c r="A19" s="89">
        <f>IF(B19&lt;&gt;"",COUNTA($B$16:B19),"")</f>
        <v>2</v>
      </c>
      <c r="B19" s="105" t="s">
        <v>70</v>
      </c>
      <c r="C19" s="33" t="s">
        <v>43</v>
      </c>
      <c r="D19" s="180">
        <v>1</v>
      </c>
      <c r="E19" s="98"/>
      <c r="F19" s="176" t="s">
        <v>118</v>
      </c>
      <c r="G19" s="33" t="s">
        <v>119</v>
      </c>
      <c r="H19" s="177" t="s">
        <v>120</v>
      </c>
      <c r="I19" s="179" t="s">
        <v>130</v>
      </c>
      <c r="J19" s="39" t="s">
        <v>46</v>
      </c>
      <c r="K19" s="34">
        <v>22.75</v>
      </c>
      <c r="L19" s="38" t="str">
        <f t="shared" si="1"/>
        <v>X</v>
      </c>
      <c r="M19" s="35">
        <v>25.5</v>
      </c>
      <c r="N19" s="35" t="str">
        <f t="shared" si="2"/>
        <v>X</v>
      </c>
      <c r="O19" s="36">
        <v>1.25</v>
      </c>
      <c r="P19" s="186">
        <f>P18</f>
        <v>2</v>
      </c>
      <c r="Q19" s="172">
        <f t="shared" ref="P19:S21" si="6">Q18</f>
        <v>2</v>
      </c>
      <c r="R19" s="172">
        <f t="shared" si="6"/>
        <v>2</v>
      </c>
      <c r="S19" s="172">
        <f t="shared" si="6"/>
        <v>2</v>
      </c>
      <c r="T19" s="172"/>
      <c r="U19" s="71">
        <f>SUM(P19:T19)</f>
        <v>8</v>
      </c>
      <c r="V19" s="50">
        <f>K19*M19/144</f>
        <v>4.028645833333333</v>
      </c>
      <c r="W19" s="50">
        <f t="shared" ref="W19:W21" si="7">V19*U19</f>
        <v>32.229166666666664</v>
      </c>
      <c r="X19" s="81">
        <f>K19*M19/144</f>
        <v>4.028645833333333</v>
      </c>
      <c r="Y19" s="50">
        <f t="shared" si="3"/>
        <v>32.229166666666664</v>
      </c>
      <c r="Z19" s="50">
        <f t="shared" si="4"/>
        <v>0.37427344499999998</v>
      </c>
      <c r="AA19" s="50">
        <f t="shared" si="5"/>
        <v>2.9941875599999999</v>
      </c>
      <c r="AB19" s="64">
        <v>3.71</v>
      </c>
      <c r="AC19" s="64"/>
      <c r="AD19" s="64"/>
      <c r="AE19" s="64"/>
      <c r="AF19" s="64"/>
      <c r="AG19" s="64">
        <f>K19*M19/144*AB19+(SUM(AC19:AE19))</f>
        <v>14.946276041666666</v>
      </c>
      <c r="AH19" s="42">
        <f t="shared" si="0"/>
        <v>119.57020833333333</v>
      </c>
    </row>
    <row r="20" spans="1:34" ht="22.5" customHeight="1">
      <c r="A20" s="89">
        <f>IF(B20&lt;&gt;"",COUNTA($B$16:B20),"")</f>
        <v>3</v>
      </c>
      <c r="B20" s="105" t="s">
        <v>70</v>
      </c>
      <c r="C20" s="33" t="s">
        <v>43</v>
      </c>
      <c r="D20" s="180">
        <v>1</v>
      </c>
      <c r="E20" s="98"/>
      <c r="F20" s="176" t="s">
        <v>118</v>
      </c>
      <c r="G20" s="33" t="s">
        <v>119</v>
      </c>
      <c r="H20" s="177" t="s">
        <v>120</v>
      </c>
      <c r="I20" s="179" t="s">
        <v>130</v>
      </c>
      <c r="J20" s="39" t="s">
        <v>46</v>
      </c>
      <c r="K20" s="34">
        <v>45.75</v>
      </c>
      <c r="L20" s="38" t="str">
        <f t="shared" si="1"/>
        <v>X</v>
      </c>
      <c r="M20" s="35">
        <v>25.5</v>
      </c>
      <c r="N20" s="35" t="str">
        <f t="shared" si="2"/>
        <v>X</v>
      </c>
      <c r="O20" s="36">
        <v>1.25</v>
      </c>
      <c r="P20" s="186">
        <f t="shared" si="6"/>
        <v>2</v>
      </c>
      <c r="Q20" s="172">
        <f t="shared" si="6"/>
        <v>2</v>
      </c>
      <c r="R20" s="172">
        <f t="shared" si="6"/>
        <v>2</v>
      </c>
      <c r="S20" s="172">
        <f t="shared" si="6"/>
        <v>2</v>
      </c>
      <c r="T20" s="172"/>
      <c r="U20" s="71">
        <f>SUM(P20:T20)</f>
        <v>8</v>
      </c>
      <c r="V20" s="50">
        <f>K20*M20/144</f>
        <v>8.1015625</v>
      </c>
      <c r="W20" s="50">
        <f t="shared" si="7"/>
        <v>64.8125</v>
      </c>
      <c r="X20" s="81">
        <f>K20*M20/144</f>
        <v>8.1015625</v>
      </c>
      <c r="Y20" s="50">
        <f t="shared" si="3"/>
        <v>64.8125</v>
      </c>
      <c r="Z20" s="50">
        <f t="shared" si="4"/>
        <v>0.75265978500000008</v>
      </c>
      <c r="AA20" s="50">
        <f t="shared" si="5"/>
        <v>6.0212782800000006</v>
      </c>
      <c r="AB20" s="64">
        <v>3.71</v>
      </c>
      <c r="AC20" s="64"/>
      <c r="AD20" s="64"/>
      <c r="AE20" s="64"/>
      <c r="AF20" s="64"/>
      <c r="AG20" s="64">
        <f>K20*M20/144*AB20+(SUM(AC20:AE20))</f>
        <v>30.056796875</v>
      </c>
      <c r="AH20" s="42">
        <f t="shared" si="0"/>
        <v>240.454375</v>
      </c>
    </row>
    <row r="21" spans="1:34" ht="22.5" customHeight="1">
      <c r="A21" s="89">
        <f>IF(B21&lt;&gt;"",COUNTA($B$16:B21),"")</f>
        <v>4</v>
      </c>
      <c r="B21" s="105" t="s">
        <v>70</v>
      </c>
      <c r="C21" s="33" t="s">
        <v>43</v>
      </c>
      <c r="D21" s="180">
        <v>1</v>
      </c>
      <c r="E21" s="98"/>
      <c r="F21" s="176" t="s">
        <v>118</v>
      </c>
      <c r="G21" s="33" t="s">
        <v>119</v>
      </c>
      <c r="H21" s="177" t="s">
        <v>120</v>
      </c>
      <c r="I21" s="179" t="s">
        <v>130</v>
      </c>
      <c r="J21" s="39" t="s">
        <v>46</v>
      </c>
      <c r="K21" s="34">
        <v>19.5</v>
      </c>
      <c r="L21" s="38" t="str">
        <f t="shared" si="1"/>
        <v>X</v>
      </c>
      <c r="M21" s="35">
        <v>25.5</v>
      </c>
      <c r="N21" s="35" t="str">
        <f t="shared" si="2"/>
        <v>X</v>
      </c>
      <c r="O21" s="36">
        <v>1.25</v>
      </c>
      <c r="P21" s="186">
        <f t="shared" si="6"/>
        <v>2</v>
      </c>
      <c r="Q21" s="172">
        <f t="shared" si="6"/>
        <v>2</v>
      </c>
      <c r="R21" s="172">
        <f t="shared" si="6"/>
        <v>2</v>
      </c>
      <c r="S21" s="172">
        <f t="shared" si="6"/>
        <v>2</v>
      </c>
      <c r="T21" s="172"/>
      <c r="U21" s="71">
        <f>SUM(P21:T21)</f>
        <v>8</v>
      </c>
      <c r="V21" s="50">
        <f>K21*M21/144</f>
        <v>3.453125</v>
      </c>
      <c r="W21" s="50">
        <f t="shared" si="7"/>
        <v>27.625</v>
      </c>
      <c r="X21" s="81">
        <f>K21*M21/144</f>
        <v>3.453125</v>
      </c>
      <c r="Y21" s="50">
        <f t="shared" si="3"/>
        <v>27.625</v>
      </c>
      <c r="Z21" s="50">
        <f t="shared" si="4"/>
        <v>0.32080581000000002</v>
      </c>
      <c r="AA21" s="50">
        <f t="shared" si="5"/>
        <v>2.5664464800000002</v>
      </c>
      <c r="AB21" s="64">
        <v>3.71</v>
      </c>
      <c r="AC21" s="64"/>
      <c r="AD21" s="64"/>
      <c r="AE21" s="64"/>
      <c r="AF21" s="64"/>
      <c r="AG21" s="64">
        <f>K21*M21/144*AB21+(SUM(AC21:AE21))</f>
        <v>12.81109375</v>
      </c>
      <c r="AH21" s="42">
        <f t="shared" si="0"/>
        <v>102.48875</v>
      </c>
    </row>
    <row r="22" spans="1:34" ht="22.5" customHeight="1">
      <c r="A22" s="88" t="str">
        <f>IF(B22&lt;&gt;"",COUNTA($B$16:B22),"")</f>
        <v/>
      </c>
      <c r="B22" s="104"/>
      <c r="C22" s="33"/>
      <c r="D22" s="99"/>
      <c r="E22" s="98"/>
      <c r="F22" s="78"/>
      <c r="G22" s="33"/>
      <c r="H22" s="37"/>
      <c r="I22" s="37"/>
      <c r="J22" s="33"/>
      <c r="K22" s="38"/>
      <c r="L22" s="35"/>
      <c r="M22" s="38"/>
      <c r="N22" s="35"/>
      <c r="O22" s="36"/>
      <c r="P22" s="186"/>
      <c r="Q22" s="172"/>
      <c r="R22" s="172"/>
      <c r="S22" s="172"/>
      <c r="T22" s="172"/>
      <c r="U22" s="71"/>
      <c r="V22" s="50"/>
      <c r="W22" s="50"/>
      <c r="X22" s="81"/>
      <c r="Y22" s="50"/>
      <c r="Z22" s="50"/>
      <c r="AA22" s="50"/>
      <c r="AB22" s="64"/>
      <c r="AC22" s="64"/>
      <c r="AD22" s="64"/>
      <c r="AE22" s="64"/>
      <c r="AF22" s="64"/>
      <c r="AG22" s="64"/>
      <c r="AH22" s="42" t="str">
        <f t="shared" si="0"/>
        <v/>
      </c>
    </row>
    <row r="23" spans="1:34" ht="22.5" customHeight="1">
      <c r="A23" s="89">
        <f>IF(B23&lt;&gt;"",COUNTA($B$16:B23),"")</f>
        <v>5</v>
      </c>
      <c r="B23" s="105" t="s">
        <v>70</v>
      </c>
      <c r="C23" s="33" t="s">
        <v>65</v>
      </c>
      <c r="D23" s="181">
        <v>3</v>
      </c>
      <c r="E23" s="98"/>
      <c r="F23" s="176" t="s">
        <v>126</v>
      </c>
      <c r="G23" s="33" t="s">
        <v>127</v>
      </c>
      <c r="H23" s="79" t="s">
        <v>58</v>
      </c>
      <c r="I23" s="79" t="s">
        <v>47</v>
      </c>
      <c r="J23" s="39" t="s">
        <v>46</v>
      </c>
      <c r="K23" s="34">
        <v>97.375</v>
      </c>
      <c r="L23" s="35" t="str">
        <f t="shared" ref="L23:L26" si="8">IF(K23&lt;&gt;"","X","")</f>
        <v>X</v>
      </c>
      <c r="M23" s="35">
        <v>43.625</v>
      </c>
      <c r="N23" s="35" t="str">
        <f t="shared" ref="N23:N26" si="9">IF(M23&lt;&gt;"","X","")</f>
        <v>X</v>
      </c>
      <c r="O23" s="36">
        <v>1.25</v>
      </c>
      <c r="P23" s="186">
        <v>3</v>
      </c>
      <c r="Q23" s="172">
        <v>2</v>
      </c>
      <c r="R23" s="172">
        <v>3</v>
      </c>
      <c r="S23" s="172">
        <v>2</v>
      </c>
      <c r="T23" s="172"/>
      <c r="U23" s="71">
        <f>SUM(P23:T23)</f>
        <v>10</v>
      </c>
      <c r="V23" s="50">
        <f>K23*M23/144</f>
        <v>29.499891493055557</v>
      </c>
      <c r="W23" s="50">
        <f t="shared" ref="W23:W26" si="10">V23*U23</f>
        <v>294.99891493055554</v>
      </c>
      <c r="X23" s="109">
        <v>29.49</v>
      </c>
      <c r="Y23" s="50">
        <f t="shared" ref="Y23:Y26" si="11">X23*U23</f>
        <v>294.89999999999998</v>
      </c>
      <c r="Z23" s="50">
        <f t="shared" ref="Z23:Z26" si="12">V23*0.09290304</f>
        <v>2.7406295993750005</v>
      </c>
      <c r="AA23" s="50">
        <f t="shared" ref="AA23:AA26" si="13">Z23*U23</f>
        <v>27.406295993750007</v>
      </c>
      <c r="AB23" s="64">
        <v>4.01</v>
      </c>
      <c r="AC23" s="64"/>
      <c r="AD23" s="64"/>
      <c r="AE23" s="64"/>
      <c r="AF23" s="77">
        <f>SUM(AG23:AG26)</f>
        <v>176.10873155381944</v>
      </c>
      <c r="AG23" s="64">
        <f>K23*M23/144*AB23+(SUM(AC23:AE23))</f>
        <v>118.29456488715277</v>
      </c>
      <c r="AH23" s="42">
        <f t="shared" si="0"/>
        <v>1182.9456488715277</v>
      </c>
    </row>
    <row r="24" spans="1:34" ht="22.5" customHeight="1">
      <c r="A24" s="89">
        <f>IF(B24&lt;&gt;"",COUNTA($B$16:B24),"")</f>
        <v>6</v>
      </c>
      <c r="B24" s="105" t="s">
        <v>70</v>
      </c>
      <c r="C24" s="33" t="s">
        <v>65</v>
      </c>
      <c r="D24" s="181">
        <v>3</v>
      </c>
      <c r="E24" s="98"/>
      <c r="F24" s="176" t="s">
        <v>126</v>
      </c>
      <c r="G24" s="33" t="s">
        <v>127</v>
      </c>
      <c r="H24" s="79" t="s">
        <v>58</v>
      </c>
      <c r="I24" s="79" t="s">
        <v>47</v>
      </c>
      <c r="J24" s="39" t="s">
        <v>46</v>
      </c>
      <c r="K24" s="34">
        <v>22.75</v>
      </c>
      <c r="L24" s="38" t="str">
        <f t="shared" si="8"/>
        <v>X</v>
      </c>
      <c r="M24" s="35">
        <v>25.5</v>
      </c>
      <c r="N24" s="35" t="str">
        <f t="shared" si="9"/>
        <v>X</v>
      </c>
      <c r="O24" s="36">
        <v>1.25</v>
      </c>
      <c r="P24" s="186">
        <f>P23</f>
        <v>3</v>
      </c>
      <c r="Q24" s="172">
        <f t="shared" ref="P24:S26" si="14">Q23</f>
        <v>2</v>
      </c>
      <c r="R24" s="172">
        <f t="shared" si="14"/>
        <v>3</v>
      </c>
      <c r="S24" s="172">
        <f t="shared" si="14"/>
        <v>2</v>
      </c>
      <c r="T24" s="172"/>
      <c r="U24" s="71">
        <f>SUM(P24:T24)</f>
        <v>10</v>
      </c>
      <c r="V24" s="50">
        <f>K24*M24/144</f>
        <v>4.028645833333333</v>
      </c>
      <c r="W24" s="50">
        <f t="shared" si="10"/>
        <v>40.286458333333329</v>
      </c>
      <c r="X24" s="81">
        <f>K24*M24/144</f>
        <v>4.028645833333333</v>
      </c>
      <c r="Y24" s="50">
        <f t="shared" si="11"/>
        <v>40.286458333333329</v>
      </c>
      <c r="Z24" s="50">
        <f t="shared" si="12"/>
        <v>0.37427344499999998</v>
      </c>
      <c r="AA24" s="50">
        <f t="shared" si="13"/>
        <v>3.7427344499999999</v>
      </c>
      <c r="AB24" s="64">
        <v>3.71</v>
      </c>
      <c r="AC24" s="64"/>
      <c r="AD24" s="64"/>
      <c r="AE24" s="64"/>
      <c r="AF24" s="64"/>
      <c r="AG24" s="64">
        <f>K24*M24/144*AB24+(SUM(AC24:AE24))</f>
        <v>14.946276041666666</v>
      </c>
      <c r="AH24" s="42">
        <f t="shared" si="0"/>
        <v>149.46276041666667</v>
      </c>
    </row>
    <row r="25" spans="1:34" ht="22.5" customHeight="1">
      <c r="A25" s="89">
        <f>IF(B25&lt;&gt;"",COUNTA($B$16:B25),"")</f>
        <v>7</v>
      </c>
      <c r="B25" s="105" t="s">
        <v>70</v>
      </c>
      <c r="C25" s="33" t="s">
        <v>65</v>
      </c>
      <c r="D25" s="181">
        <v>3</v>
      </c>
      <c r="E25" s="98"/>
      <c r="F25" s="176" t="s">
        <v>126</v>
      </c>
      <c r="G25" s="33" t="s">
        <v>127</v>
      </c>
      <c r="H25" s="79" t="s">
        <v>58</v>
      </c>
      <c r="I25" s="79" t="s">
        <v>47</v>
      </c>
      <c r="J25" s="39" t="s">
        <v>46</v>
      </c>
      <c r="K25" s="34">
        <v>45.75</v>
      </c>
      <c r="L25" s="38" t="str">
        <f t="shared" si="8"/>
        <v>X</v>
      </c>
      <c r="M25" s="35">
        <v>25.5</v>
      </c>
      <c r="N25" s="35" t="str">
        <f t="shared" si="9"/>
        <v>X</v>
      </c>
      <c r="O25" s="36">
        <v>1.25</v>
      </c>
      <c r="P25" s="186">
        <f t="shared" si="14"/>
        <v>3</v>
      </c>
      <c r="Q25" s="172">
        <f t="shared" si="14"/>
        <v>2</v>
      </c>
      <c r="R25" s="172">
        <f t="shared" si="14"/>
        <v>3</v>
      </c>
      <c r="S25" s="172">
        <f t="shared" si="14"/>
        <v>2</v>
      </c>
      <c r="T25" s="172"/>
      <c r="U25" s="71">
        <f>SUM(P25:T25)</f>
        <v>10</v>
      </c>
      <c r="V25" s="50">
        <f>K25*M25/144</f>
        <v>8.1015625</v>
      </c>
      <c r="W25" s="50">
        <f t="shared" si="10"/>
        <v>81.015625</v>
      </c>
      <c r="X25" s="81">
        <f>K25*M25/144</f>
        <v>8.1015625</v>
      </c>
      <c r="Y25" s="50">
        <f t="shared" si="11"/>
        <v>81.015625</v>
      </c>
      <c r="Z25" s="50">
        <f t="shared" si="12"/>
        <v>0.75265978500000008</v>
      </c>
      <c r="AA25" s="50">
        <f t="shared" si="13"/>
        <v>7.5265978500000008</v>
      </c>
      <c r="AB25" s="64">
        <v>3.71</v>
      </c>
      <c r="AC25" s="64"/>
      <c r="AD25" s="64"/>
      <c r="AE25" s="64"/>
      <c r="AF25" s="64"/>
      <c r="AG25" s="64">
        <f>K25*M25/144*AB25+(SUM(AC25:AE25))</f>
        <v>30.056796875</v>
      </c>
      <c r="AH25" s="42">
        <f t="shared" si="0"/>
        <v>300.56796874999998</v>
      </c>
    </row>
    <row r="26" spans="1:34" ht="22.5" customHeight="1">
      <c r="A26" s="89">
        <f>IF(B26&lt;&gt;"",COUNTA($B$16:B26),"")</f>
        <v>8</v>
      </c>
      <c r="B26" s="105" t="s">
        <v>70</v>
      </c>
      <c r="C26" s="33" t="s">
        <v>65</v>
      </c>
      <c r="D26" s="181">
        <v>3</v>
      </c>
      <c r="E26" s="98"/>
      <c r="F26" s="176" t="s">
        <v>126</v>
      </c>
      <c r="G26" s="33" t="s">
        <v>127</v>
      </c>
      <c r="H26" s="79" t="s">
        <v>58</v>
      </c>
      <c r="I26" s="79" t="s">
        <v>47</v>
      </c>
      <c r="J26" s="39" t="s">
        <v>46</v>
      </c>
      <c r="K26" s="34">
        <v>19.5</v>
      </c>
      <c r="L26" s="38" t="str">
        <f t="shared" si="8"/>
        <v>X</v>
      </c>
      <c r="M26" s="35">
        <v>25.5</v>
      </c>
      <c r="N26" s="35" t="str">
        <f t="shared" si="9"/>
        <v>X</v>
      </c>
      <c r="O26" s="36">
        <v>1.25</v>
      </c>
      <c r="P26" s="186">
        <f t="shared" si="14"/>
        <v>3</v>
      </c>
      <c r="Q26" s="172">
        <f t="shared" si="14"/>
        <v>2</v>
      </c>
      <c r="R26" s="172">
        <f t="shared" si="14"/>
        <v>3</v>
      </c>
      <c r="S26" s="172">
        <f t="shared" si="14"/>
        <v>2</v>
      </c>
      <c r="T26" s="172"/>
      <c r="U26" s="71">
        <f>SUM(P26:T26)</f>
        <v>10</v>
      </c>
      <c r="V26" s="50">
        <f>K26*M26/144</f>
        <v>3.453125</v>
      </c>
      <c r="W26" s="50">
        <f t="shared" si="10"/>
        <v>34.53125</v>
      </c>
      <c r="X26" s="81">
        <f>K26*M26/144</f>
        <v>3.453125</v>
      </c>
      <c r="Y26" s="50">
        <f t="shared" si="11"/>
        <v>34.53125</v>
      </c>
      <c r="Z26" s="50">
        <f t="shared" si="12"/>
        <v>0.32080581000000002</v>
      </c>
      <c r="AA26" s="50">
        <f t="shared" si="13"/>
        <v>3.2080581000000001</v>
      </c>
      <c r="AB26" s="64">
        <v>3.71</v>
      </c>
      <c r="AC26" s="64"/>
      <c r="AD26" s="64"/>
      <c r="AE26" s="64"/>
      <c r="AF26" s="64"/>
      <c r="AG26" s="64">
        <f>K26*M26/144*AB26+(SUM(AC26:AE26))</f>
        <v>12.81109375</v>
      </c>
      <c r="AH26" s="42">
        <f t="shared" si="0"/>
        <v>128.11093750000001</v>
      </c>
    </row>
    <row r="27" spans="1:34" ht="22.5" customHeight="1">
      <c r="A27" s="88" t="str">
        <f>IF(B27&lt;&gt;"",COUNTA($B$16:B27),"")</f>
        <v/>
      </c>
      <c r="B27" s="104"/>
      <c r="C27" s="33"/>
      <c r="D27" s="99"/>
      <c r="E27" s="98"/>
      <c r="F27" s="78"/>
      <c r="G27" s="33"/>
      <c r="H27" s="37"/>
      <c r="I27" s="37"/>
      <c r="J27" s="33"/>
      <c r="K27" s="38"/>
      <c r="L27" s="80"/>
      <c r="M27" s="38"/>
      <c r="N27" s="35"/>
      <c r="O27" s="36"/>
      <c r="P27" s="186"/>
      <c r="Q27" s="172"/>
      <c r="R27" s="172"/>
      <c r="S27" s="172"/>
      <c r="T27" s="172"/>
      <c r="U27" s="71"/>
      <c r="V27" s="50"/>
      <c r="W27" s="50"/>
      <c r="X27" s="81"/>
      <c r="Y27" s="50"/>
      <c r="Z27" s="50"/>
      <c r="AA27" s="50"/>
      <c r="AB27" s="64"/>
      <c r="AC27" s="64"/>
      <c r="AD27" s="64"/>
      <c r="AE27" s="64"/>
      <c r="AF27" s="64"/>
      <c r="AG27" s="64"/>
      <c r="AH27" s="42" t="str">
        <f t="shared" si="0"/>
        <v/>
      </c>
    </row>
    <row r="28" spans="1:34" ht="22.5" customHeight="1">
      <c r="A28" s="89">
        <f>IF(B28&lt;&gt;"",COUNTA($B$16:B28),"")</f>
        <v>9</v>
      </c>
      <c r="B28" s="105" t="s">
        <v>71</v>
      </c>
      <c r="C28" s="33" t="s">
        <v>65</v>
      </c>
      <c r="D28" s="98">
        <v>5</v>
      </c>
      <c r="E28" s="98"/>
      <c r="F28" s="33" t="s">
        <v>54</v>
      </c>
      <c r="G28" s="33" t="s">
        <v>116</v>
      </c>
      <c r="H28" s="79" t="s">
        <v>58</v>
      </c>
      <c r="I28" s="79" t="s">
        <v>47</v>
      </c>
      <c r="J28" s="39" t="s">
        <v>46</v>
      </c>
      <c r="K28" s="34">
        <v>87.25</v>
      </c>
      <c r="L28" s="35" t="str">
        <f t="shared" ref="L28:L30" si="15">IF(K28&lt;&gt;"","X","")</f>
        <v>X</v>
      </c>
      <c r="M28" s="35">
        <v>43.625</v>
      </c>
      <c r="N28" s="35" t="str">
        <f t="shared" ref="N28:N30" si="16">IF(M28&lt;&gt;"","X","")</f>
        <v>X</v>
      </c>
      <c r="O28" s="36">
        <v>1.25</v>
      </c>
      <c r="P28" s="186"/>
      <c r="Q28" s="172">
        <v>1</v>
      </c>
      <c r="R28" s="172"/>
      <c r="S28" s="172"/>
      <c r="T28" s="172">
        <v>1</v>
      </c>
      <c r="U28" s="71">
        <f>SUM(P28:T28)</f>
        <v>2</v>
      </c>
      <c r="V28" s="50">
        <f>K28*M28/144</f>
        <v>26.432508680555557</v>
      </c>
      <c r="W28" s="50">
        <f t="shared" ref="W28:W30" si="17">V28*U28</f>
        <v>52.865017361111114</v>
      </c>
      <c r="X28" s="109">
        <v>26.42</v>
      </c>
      <c r="Y28" s="50">
        <f t="shared" ref="Y28:Y30" si="18">X28*U28</f>
        <v>52.84</v>
      </c>
      <c r="Z28" s="50">
        <f t="shared" si="4"/>
        <v>2.4556604112500002</v>
      </c>
      <c r="AA28" s="50">
        <f t="shared" si="5"/>
        <v>4.9113208225000005</v>
      </c>
      <c r="AB28" s="64">
        <v>4.01</v>
      </c>
      <c r="AC28" s="64"/>
      <c r="AD28" s="64"/>
      <c r="AE28" s="64"/>
      <c r="AF28" s="77">
        <f>SUM(AG28:AG30)</f>
        <v>143.52429470486112</v>
      </c>
      <c r="AG28" s="64">
        <f>K28*M28/144*AB28+(SUM(AC28:AE28))</f>
        <v>105.99435980902778</v>
      </c>
      <c r="AH28" s="42">
        <f t="shared" si="0"/>
        <v>211.98871961805557</v>
      </c>
    </row>
    <row r="29" spans="1:34" ht="22.5" customHeight="1">
      <c r="A29" s="89">
        <f>IF(B29&lt;&gt;"",COUNTA($B$16:B29),"")</f>
        <v>10</v>
      </c>
      <c r="B29" s="105" t="s">
        <v>71</v>
      </c>
      <c r="C29" s="33" t="s">
        <v>65</v>
      </c>
      <c r="D29" s="98">
        <v>5</v>
      </c>
      <c r="E29" s="98"/>
      <c r="F29" s="33" t="s">
        <v>54</v>
      </c>
      <c r="G29" s="33" t="s">
        <v>116</v>
      </c>
      <c r="H29" s="79" t="s">
        <v>58</v>
      </c>
      <c r="I29" s="79" t="s">
        <v>47</v>
      </c>
      <c r="J29" s="39" t="s">
        <v>46</v>
      </c>
      <c r="K29" s="34">
        <v>36.125</v>
      </c>
      <c r="L29" s="38" t="str">
        <f t="shared" si="15"/>
        <v>X</v>
      </c>
      <c r="M29" s="35">
        <v>25.5</v>
      </c>
      <c r="N29" s="35" t="str">
        <f t="shared" si="16"/>
        <v>X</v>
      </c>
      <c r="O29" s="36">
        <v>1.25</v>
      </c>
      <c r="P29" s="186"/>
      <c r="Q29" s="172">
        <f>Q28</f>
        <v>1</v>
      </c>
      <c r="R29" s="172"/>
      <c r="S29" s="172"/>
      <c r="T29" s="172">
        <f>T28</f>
        <v>1</v>
      </c>
      <c r="U29" s="71">
        <f>SUM(P29:T29)</f>
        <v>2</v>
      </c>
      <c r="V29" s="50">
        <f>K29*M29/144</f>
        <v>6.397135416666667</v>
      </c>
      <c r="W29" s="50">
        <f t="shared" si="17"/>
        <v>12.794270833333334</v>
      </c>
      <c r="X29" s="81">
        <f>K29*M29/144</f>
        <v>6.397135416666667</v>
      </c>
      <c r="Y29" s="50">
        <f t="shared" si="18"/>
        <v>12.794270833333334</v>
      </c>
      <c r="Z29" s="50">
        <f t="shared" si="4"/>
        <v>0.5943133275000001</v>
      </c>
      <c r="AA29" s="50">
        <f t="shared" si="5"/>
        <v>1.1886266550000002</v>
      </c>
      <c r="AB29" s="64">
        <v>3.71</v>
      </c>
      <c r="AC29" s="64"/>
      <c r="AD29" s="64"/>
      <c r="AE29" s="64"/>
      <c r="AF29" s="64"/>
      <c r="AG29" s="64">
        <f>K29*M29/144*AB29+(SUM(AC29:AE29))</f>
        <v>23.733372395833335</v>
      </c>
      <c r="AH29" s="42">
        <f t="shared" si="0"/>
        <v>47.46674479166667</v>
      </c>
    </row>
    <row r="30" spans="1:34" ht="22.5" customHeight="1">
      <c r="A30" s="89">
        <f>IF(B30&lt;&gt;"",COUNTA($B$16:B30),"")</f>
        <v>11</v>
      </c>
      <c r="B30" s="105" t="s">
        <v>71</v>
      </c>
      <c r="C30" s="33" t="s">
        <v>65</v>
      </c>
      <c r="D30" s="98">
        <v>5</v>
      </c>
      <c r="E30" s="98"/>
      <c r="F30" s="33" t="s">
        <v>54</v>
      </c>
      <c r="G30" s="33" t="s">
        <v>116</v>
      </c>
      <c r="H30" s="79" t="s">
        <v>45</v>
      </c>
      <c r="I30" s="79" t="s">
        <v>47</v>
      </c>
      <c r="J30" s="39" t="s">
        <v>46</v>
      </c>
      <c r="K30" s="34">
        <v>21</v>
      </c>
      <c r="L30" s="38" t="str">
        <f t="shared" si="15"/>
        <v>X</v>
      </c>
      <c r="M30" s="35">
        <v>25.5</v>
      </c>
      <c r="N30" s="35" t="str">
        <f t="shared" si="16"/>
        <v>X</v>
      </c>
      <c r="O30" s="36">
        <v>1.25</v>
      </c>
      <c r="P30" s="186"/>
      <c r="Q30" s="172">
        <f t="shared" ref="Q30" si="19">Q29</f>
        <v>1</v>
      </c>
      <c r="R30" s="172"/>
      <c r="S30" s="172"/>
      <c r="T30" s="172">
        <f t="shared" ref="T30" si="20">T29</f>
        <v>1</v>
      </c>
      <c r="U30" s="71">
        <f>SUM(P30:T30)</f>
        <v>2</v>
      </c>
      <c r="V30" s="50">
        <f>K30*M30/144</f>
        <v>3.71875</v>
      </c>
      <c r="W30" s="50">
        <f t="shared" si="17"/>
        <v>7.4375</v>
      </c>
      <c r="X30" s="81">
        <f>K30*M30/144</f>
        <v>3.71875</v>
      </c>
      <c r="Y30" s="50">
        <f t="shared" si="18"/>
        <v>7.4375</v>
      </c>
      <c r="Z30" s="50">
        <f t="shared" si="4"/>
        <v>0.34548318</v>
      </c>
      <c r="AA30" s="50">
        <f t="shared" si="5"/>
        <v>0.69096636</v>
      </c>
      <c r="AB30" s="64">
        <v>3.71</v>
      </c>
      <c r="AC30" s="64"/>
      <c r="AD30" s="64"/>
      <c r="AE30" s="64"/>
      <c r="AF30" s="64"/>
      <c r="AG30" s="64">
        <f>K30*M30/144*AB30+(SUM(AC30:AE30))</f>
        <v>13.7965625</v>
      </c>
      <c r="AH30" s="42">
        <f t="shared" si="0"/>
        <v>27.593125000000001</v>
      </c>
    </row>
    <row r="31" spans="1:34" ht="22.5" customHeight="1">
      <c r="A31" s="88" t="str">
        <f>IF(B31&lt;&gt;"",COUNTA($B$16:B31),"")</f>
        <v/>
      </c>
      <c r="B31" s="105"/>
      <c r="C31" s="33"/>
      <c r="D31" s="99"/>
      <c r="E31" s="98"/>
      <c r="F31" s="78"/>
      <c r="G31" s="33"/>
      <c r="H31" s="37"/>
      <c r="I31" s="37"/>
      <c r="J31" s="33"/>
      <c r="K31" s="38"/>
      <c r="L31" s="35"/>
      <c r="M31" s="38"/>
      <c r="N31" s="35"/>
      <c r="O31" s="36"/>
      <c r="P31" s="186"/>
      <c r="Q31" s="172"/>
      <c r="R31" s="172"/>
      <c r="S31" s="172"/>
      <c r="T31" s="172"/>
      <c r="U31" s="71"/>
      <c r="V31" s="50"/>
      <c r="W31" s="50"/>
      <c r="X31" s="81"/>
      <c r="Y31" s="50"/>
      <c r="Z31" s="50"/>
      <c r="AA31" s="50"/>
      <c r="AB31" s="64"/>
      <c r="AC31" s="64"/>
      <c r="AD31" s="64"/>
      <c r="AE31" s="64"/>
      <c r="AF31" s="64"/>
      <c r="AG31" s="64"/>
      <c r="AH31" s="42" t="str">
        <f t="shared" si="0"/>
        <v/>
      </c>
    </row>
    <row r="32" spans="1:34" ht="22.5" customHeight="1">
      <c r="A32" s="89">
        <f>IF(B32&lt;&gt;"",COUNTA($B$16:B32),"")</f>
        <v>12</v>
      </c>
      <c r="B32" s="105" t="s">
        <v>72</v>
      </c>
      <c r="C32" s="33" t="s">
        <v>43</v>
      </c>
      <c r="D32" s="98">
        <v>7</v>
      </c>
      <c r="E32" s="98"/>
      <c r="F32" s="33" t="s">
        <v>54</v>
      </c>
      <c r="G32" s="33" t="s">
        <v>116</v>
      </c>
      <c r="H32" s="79" t="s">
        <v>58</v>
      </c>
      <c r="I32" s="79" t="s">
        <v>47</v>
      </c>
      <c r="J32" s="39" t="s">
        <v>46</v>
      </c>
      <c r="K32" s="34">
        <v>98.25</v>
      </c>
      <c r="L32" s="35" t="str">
        <f t="shared" ref="L32:L34" si="21">IF(K32&lt;&gt;"","X","")</f>
        <v>X</v>
      </c>
      <c r="M32" s="35">
        <v>43.625</v>
      </c>
      <c r="N32" s="35" t="str">
        <f t="shared" ref="N32:N34" si="22">IF(M32&lt;&gt;"","X","")</f>
        <v>X</v>
      </c>
      <c r="O32" s="36">
        <v>1.25</v>
      </c>
      <c r="P32" s="186">
        <v>3</v>
      </c>
      <c r="Q32" s="172">
        <v>3</v>
      </c>
      <c r="R32" s="172">
        <v>3</v>
      </c>
      <c r="S32" s="172">
        <v>3</v>
      </c>
      <c r="T32" s="172"/>
      <c r="U32" s="71">
        <f>SUM(P32:T32)</f>
        <v>12</v>
      </c>
      <c r="V32" s="50">
        <f>K32*M32/144</f>
        <v>29.764973958333332</v>
      </c>
      <c r="W32" s="50">
        <f t="shared" ref="W32:W34" si="23">V32*U32</f>
        <v>357.1796875</v>
      </c>
      <c r="X32" s="109">
        <v>29.75</v>
      </c>
      <c r="Y32" s="50">
        <f t="shared" ref="Y32:Y34" si="24">X32*U32</f>
        <v>357</v>
      </c>
      <c r="Z32" s="50">
        <f t="shared" si="4"/>
        <v>2.7652565662500002</v>
      </c>
      <c r="AA32" s="50">
        <f t="shared" si="5"/>
        <v>33.183078795</v>
      </c>
      <c r="AB32" s="64">
        <v>4.01</v>
      </c>
      <c r="AC32" s="64"/>
      <c r="AD32" s="64"/>
      <c r="AE32" s="64"/>
      <c r="AF32" s="77">
        <f>SUM(AG32:AG34)</f>
        <v>167.64551432291665</v>
      </c>
      <c r="AG32" s="64">
        <f>K32*M32/144*AB32+(SUM(AC32:AE32))</f>
        <v>119.35754557291665</v>
      </c>
      <c r="AH32" s="42">
        <f t="shared" si="0"/>
        <v>1432.2905468749998</v>
      </c>
    </row>
    <row r="33" spans="1:34" ht="22.5" customHeight="1">
      <c r="A33" s="89">
        <f>IF(B33&lt;&gt;"",COUNTA($B$16:B33),"")</f>
        <v>13</v>
      </c>
      <c r="B33" s="105" t="s">
        <v>72</v>
      </c>
      <c r="C33" s="33" t="s">
        <v>43</v>
      </c>
      <c r="D33" s="98">
        <v>7</v>
      </c>
      <c r="E33" s="98"/>
      <c r="F33" s="33" t="s">
        <v>54</v>
      </c>
      <c r="G33" s="33" t="s">
        <v>116</v>
      </c>
      <c r="H33" s="79" t="s">
        <v>58</v>
      </c>
      <c r="I33" s="79" t="s">
        <v>47</v>
      </c>
      <c r="J33" s="39" t="s">
        <v>46</v>
      </c>
      <c r="K33" s="34">
        <v>34.5</v>
      </c>
      <c r="L33" s="38" t="str">
        <f t="shared" si="21"/>
        <v>X</v>
      </c>
      <c r="M33" s="35">
        <v>25.5</v>
      </c>
      <c r="N33" s="35" t="str">
        <f t="shared" si="22"/>
        <v>X</v>
      </c>
      <c r="O33" s="36">
        <v>1.25</v>
      </c>
      <c r="P33" s="186">
        <f t="shared" ref="P33:S34" si="25">P32</f>
        <v>3</v>
      </c>
      <c r="Q33" s="172">
        <f t="shared" si="25"/>
        <v>3</v>
      </c>
      <c r="R33" s="172">
        <f t="shared" si="25"/>
        <v>3</v>
      </c>
      <c r="S33" s="172">
        <f t="shared" si="25"/>
        <v>3</v>
      </c>
      <c r="T33" s="172"/>
      <c r="U33" s="71">
        <f>SUM(P33:T33)</f>
        <v>12</v>
      </c>
      <c r="V33" s="50">
        <f>K33*M33/144</f>
        <v>6.109375</v>
      </c>
      <c r="W33" s="50">
        <f t="shared" si="23"/>
        <v>73.3125</v>
      </c>
      <c r="X33" s="81">
        <f>K33*M33/144</f>
        <v>6.109375</v>
      </c>
      <c r="Y33" s="50">
        <f t="shared" si="24"/>
        <v>73.3125</v>
      </c>
      <c r="Z33" s="50">
        <f t="shared" si="4"/>
        <v>0.56757951000000006</v>
      </c>
      <c r="AA33" s="50">
        <f t="shared" si="5"/>
        <v>6.8109541200000008</v>
      </c>
      <c r="AB33" s="64">
        <v>3.71</v>
      </c>
      <c r="AC33" s="64"/>
      <c r="AD33" s="64"/>
      <c r="AE33" s="64"/>
      <c r="AF33" s="64"/>
      <c r="AG33" s="64">
        <f>K33*M33/144*AB33+(SUM(AC33:AE33))</f>
        <v>22.665781249999998</v>
      </c>
      <c r="AH33" s="42">
        <f t="shared" si="0"/>
        <v>271.989375</v>
      </c>
    </row>
    <row r="34" spans="1:34" ht="22.5" customHeight="1">
      <c r="A34" s="89">
        <f>IF(B34&lt;&gt;"",COUNTA($B$16:B34),"")</f>
        <v>14</v>
      </c>
      <c r="B34" s="105" t="s">
        <v>72</v>
      </c>
      <c r="C34" s="33" t="s">
        <v>43</v>
      </c>
      <c r="D34" s="98">
        <v>7</v>
      </c>
      <c r="E34" s="98"/>
      <c r="F34" s="33" t="s">
        <v>54</v>
      </c>
      <c r="G34" s="33" t="s">
        <v>116</v>
      </c>
      <c r="H34" s="79" t="s">
        <v>45</v>
      </c>
      <c r="I34" s="79" t="s">
        <v>47</v>
      </c>
      <c r="J34" s="39" t="s">
        <v>46</v>
      </c>
      <c r="K34" s="34">
        <v>39</v>
      </c>
      <c r="L34" s="38" t="str">
        <f t="shared" si="21"/>
        <v>X</v>
      </c>
      <c r="M34" s="35">
        <v>25.5</v>
      </c>
      <c r="N34" s="35" t="str">
        <f t="shared" si="22"/>
        <v>X</v>
      </c>
      <c r="O34" s="36">
        <v>1.25</v>
      </c>
      <c r="P34" s="186">
        <f t="shared" si="25"/>
        <v>3</v>
      </c>
      <c r="Q34" s="172">
        <f t="shared" si="25"/>
        <v>3</v>
      </c>
      <c r="R34" s="172">
        <f t="shared" si="25"/>
        <v>3</v>
      </c>
      <c r="S34" s="172">
        <f t="shared" si="25"/>
        <v>3</v>
      </c>
      <c r="T34" s="172"/>
      <c r="U34" s="71">
        <f>SUM(P34:T34)</f>
        <v>12</v>
      </c>
      <c r="V34" s="50">
        <f>K34*M34/144</f>
        <v>6.90625</v>
      </c>
      <c r="W34" s="50">
        <f t="shared" si="23"/>
        <v>82.875</v>
      </c>
      <c r="X34" s="81">
        <f>K34*M34/144</f>
        <v>6.90625</v>
      </c>
      <c r="Y34" s="50">
        <f t="shared" si="24"/>
        <v>82.875</v>
      </c>
      <c r="Z34" s="50">
        <f t="shared" si="4"/>
        <v>0.64161162000000005</v>
      </c>
      <c r="AA34" s="50">
        <f t="shared" si="5"/>
        <v>7.699339440000001</v>
      </c>
      <c r="AB34" s="64">
        <v>3.71</v>
      </c>
      <c r="AC34" s="64"/>
      <c r="AD34" s="64"/>
      <c r="AE34" s="64"/>
      <c r="AF34" s="64"/>
      <c r="AG34" s="64">
        <f>K34*M34/144*AB34+(SUM(AC34:AE34))</f>
        <v>25.622187499999999</v>
      </c>
      <c r="AH34" s="42">
        <f t="shared" si="0"/>
        <v>307.46625</v>
      </c>
    </row>
    <row r="35" spans="1:34" ht="22.5" customHeight="1">
      <c r="A35" s="88" t="str">
        <f>IF(B35&lt;&gt;"",COUNTA($B$16:B35),"")</f>
        <v/>
      </c>
      <c r="B35" s="105"/>
      <c r="C35" s="33"/>
      <c r="D35" s="99"/>
      <c r="E35" s="98"/>
      <c r="F35" s="78"/>
      <c r="G35" s="33"/>
      <c r="H35" s="37"/>
      <c r="I35" s="37"/>
      <c r="J35" s="33"/>
      <c r="K35" s="38"/>
      <c r="L35" s="35"/>
      <c r="M35" s="38"/>
      <c r="N35" s="35"/>
      <c r="O35" s="36"/>
      <c r="P35" s="186"/>
      <c r="Q35" s="172"/>
      <c r="R35" s="172"/>
      <c r="S35" s="172"/>
      <c r="T35" s="172"/>
      <c r="U35" s="71"/>
      <c r="V35" s="50"/>
      <c r="W35" s="50"/>
      <c r="X35" s="81"/>
      <c r="Y35" s="50"/>
      <c r="Z35" s="50"/>
      <c r="AA35" s="50"/>
      <c r="AB35" s="64"/>
      <c r="AC35" s="64"/>
      <c r="AD35" s="64"/>
      <c r="AE35" s="64"/>
      <c r="AF35" s="64"/>
      <c r="AG35" s="64"/>
      <c r="AH35" s="42" t="str">
        <f t="shared" si="0"/>
        <v/>
      </c>
    </row>
    <row r="36" spans="1:34" ht="22.5" customHeight="1">
      <c r="A36" s="89">
        <f>IF(B36&lt;&gt;"",COUNTA($B$16:B36),"")</f>
        <v>15</v>
      </c>
      <c r="B36" s="105" t="s">
        <v>72</v>
      </c>
      <c r="C36" s="33" t="s">
        <v>65</v>
      </c>
      <c r="D36" s="98">
        <v>10</v>
      </c>
      <c r="E36" s="98"/>
      <c r="F36" s="33" t="s">
        <v>54</v>
      </c>
      <c r="G36" s="33" t="s">
        <v>116</v>
      </c>
      <c r="H36" s="79" t="s">
        <v>58</v>
      </c>
      <c r="I36" s="79" t="s">
        <v>47</v>
      </c>
      <c r="J36" s="39" t="s">
        <v>46</v>
      </c>
      <c r="K36" s="34">
        <v>98.25</v>
      </c>
      <c r="L36" s="35" t="str">
        <f t="shared" ref="L36:L38" si="26">IF(K36&lt;&gt;"","X","")</f>
        <v>X</v>
      </c>
      <c r="M36" s="35">
        <v>43.625</v>
      </c>
      <c r="N36" s="35" t="str">
        <f t="shared" ref="N36:N38" si="27">IF(M36&lt;&gt;"","X","")</f>
        <v>X</v>
      </c>
      <c r="O36" s="36">
        <v>1.25</v>
      </c>
      <c r="P36" s="186">
        <v>3</v>
      </c>
      <c r="Q36" s="172">
        <v>3</v>
      </c>
      <c r="R36" s="172">
        <v>3</v>
      </c>
      <c r="S36" s="172">
        <v>3</v>
      </c>
      <c r="T36" s="172"/>
      <c r="U36" s="71">
        <f>SUM(P36:T36)</f>
        <v>12</v>
      </c>
      <c r="V36" s="50">
        <f>K36*M36/144</f>
        <v>29.764973958333332</v>
      </c>
      <c r="W36" s="50">
        <f t="shared" ref="W36:W38" si="28">V36*U36</f>
        <v>357.1796875</v>
      </c>
      <c r="X36" s="109">
        <v>29.75</v>
      </c>
      <c r="Y36" s="50">
        <f t="shared" ref="Y36:Y38" si="29">X36*U36</f>
        <v>357</v>
      </c>
      <c r="Z36" s="50">
        <f t="shared" ref="Z36:Z38" si="30">V36*0.09290304</f>
        <v>2.7652565662500002</v>
      </c>
      <c r="AA36" s="50">
        <f t="shared" ref="AA36:AA38" si="31">Z36*U36</f>
        <v>33.183078795</v>
      </c>
      <c r="AB36" s="64">
        <v>4.01</v>
      </c>
      <c r="AC36" s="64"/>
      <c r="AD36" s="64"/>
      <c r="AE36" s="64"/>
      <c r="AF36" s="77">
        <f>SUM(AG36:AG38)</f>
        <v>167.64551432291665</v>
      </c>
      <c r="AG36" s="64">
        <f>K36*M36/144*AB36+(SUM(AC36:AE36))</f>
        <v>119.35754557291665</v>
      </c>
      <c r="AH36" s="42">
        <f t="shared" si="0"/>
        <v>1432.2905468749998</v>
      </c>
    </row>
    <row r="37" spans="1:34" ht="22.5" customHeight="1">
      <c r="A37" s="89">
        <f>IF(B37&lt;&gt;"",COUNTA($B$16:B37),"")</f>
        <v>16</v>
      </c>
      <c r="B37" s="105" t="s">
        <v>72</v>
      </c>
      <c r="C37" s="33" t="s">
        <v>65</v>
      </c>
      <c r="D37" s="98">
        <v>10</v>
      </c>
      <c r="E37" s="98"/>
      <c r="F37" s="33" t="s">
        <v>54</v>
      </c>
      <c r="G37" s="33" t="s">
        <v>116</v>
      </c>
      <c r="H37" s="79" t="s">
        <v>58</v>
      </c>
      <c r="I37" s="79" t="s">
        <v>47</v>
      </c>
      <c r="J37" s="39" t="s">
        <v>46</v>
      </c>
      <c r="K37" s="34">
        <v>34.5</v>
      </c>
      <c r="L37" s="38" t="str">
        <f t="shared" si="26"/>
        <v>X</v>
      </c>
      <c r="M37" s="35">
        <v>25.5</v>
      </c>
      <c r="N37" s="35" t="str">
        <f t="shared" si="27"/>
        <v>X</v>
      </c>
      <c r="O37" s="36">
        <v>1.25</v>
      </c>
      <c r="P37" s="186">
        <f t="shared" ref="P37:S38" si="32">P36</f>
        <v>3</v>
      </c>
      <c r="Q37" s="172">
        <f t="shared" si="32"/>
        <v>3</v>
      </c>
      <c r="R37" s="172">
        <f t="shared" si="32"/>
        <v>3</v>
      </c>
      <c r="S37" s="172">
        <f t="shared" si="32"/>
        <v>3</v>
      </c>
      <c r="T37" s="172"/>
      <c r="U37" s="71">
        <f>SUM(P37:T37)</f>
        <v>12</v>
      </c>
      <c r="V37" s="50">
        <f>K37*M37/144</f>
        <v>6.109375</v>
      </c>
      <c r="W37" s="50">
        <f t="shared" si="28"/>
        <v>73.3125</v>
      </c>
      <c r="X37" s="81">
        <f>K37*M37/144</f>
        <v>6.109375</v>
      </c>
      <c r="Y37" s="50">
        <f t="shared" si="29"/>
        <v>73.3125</v>
      </c>
      <c r="Z37" s="50">
        <f t="shared" si="30"/>
        <v>0.56757951000000006</v>
      </c>
      <c r="AA37" s="50">
        <f t="shared" si="31"/>
        <v>6.8109541200000008</v>
      </c>
      <c r="AB37" s="64">
        <v>3.71</v>
      </c>
      <c r="AC37" s="64"/>
      <c r="AD37" s="64"/>
      <c r="AE37" s="64"/>
      <c r="AF37" s="64"/>
      <c r="AG37" s="64">
        <f>K37*M37/144*AB37+(SUM(AC37:AE37))</f>
        <v>22.665781249999998</v>
      </c>
      <c r="AH37" s="42">
        <f t="shared" si="0"/>
        <v>271.989375</v>
      </c>
    </row>
    <row r="38" spans="1:34" ht="22.5" customHeight="1">
      <c r="A38" s="89">
        <f>IF(B38&lt;&gt;"",COUNTA($B$16:B38),"")</f>
        <v>17</v>
      </c>
      <c r="B38" s="105" t="s">
        <v>72</v>
      </c>
      <c r="C38" s="33" t="s">
        <v>65</v>
      </c>
      <c r="D38" s="98">
        <v>10</v>
      </c>
      <c r="E38" s="98"/>
      <c r="F38" s="33" t="s">
        <v>54</v>
      </c>
      <c r="G38" s="33" t="s">
        <v>116</v>
      </c>
      <c r="H38" s="79" t="s">
        <v>45</v>
      </c>
      <c r="I38" s="79" t="s">
        <v>47</v>
      </c>
      <c r="J38" s="39" t="s">
        <v>46</v>
      </c>
      <c r="K38" s="34">
        <v>39</v>
      </c>
      <c r="L38" s="38" t="str">
        <f t="shared" si="26"/>
        <v>X</v>
      </c>
      <c r="M38" s="35">
        <v>25.5</v>
      </c>
      <c r="N38" s="35" t="str">
        <f t="shared" si="27"/>
        <v>X</v>
      </c>
      <c r="O38" s="36">
        <v>1.25</v>
      </c>
      <c r="P38" s="186">
        <f t="shared" si="32"/>
        <v>3</v>
      </c>
      <c r="Q38" s="172">
        <f t="shared" si="32"/>
        <v>3</v>
      </c>
      <c r="R38" s="172">
        <f t="shared" si="32"/>
        <v>3</v>
      </c>
      <c r="S38" s="172">
        <f t="shared" si="32"/>
        <v>3</v>
      </c>
      <c r="T38" s="172"/>
      <c r="U38" s="71">
        <f>SUM(P38:T38)</f>
        <v>12</v>
      </c>
      <c r="V38" s="50">
        <f>K38*M38/144</f>
        <v>6.90625</v>
      </c>
      <c r="W38" s="50">
        <f t="shared" si="28"/>
        <v>82.875</v>
      </c>
      <c r="X38" s="81">
        <f>K38*M38/144</f>
        <v>6.90625</v>
      </c>
      <c r="Y38" s="50">
        <f t="shared" si="29"/>
        <v>82.875</v>
      </c>
      <c r="Z38" s="50">
        <f t="shared" si="30"/>
        <v>0.64161162000000005</v>
      </c>
      <c r="AA38" s="50">
        <f t="shared" si="31"/>
        <v>7.699339440000001</v>
      </c>
      <c r="AB38" s="64">
        <v>3.71</v>
      </c>
      <c r="AC38" s="64"/>
      <c r="AD38" s="64"/>
      <c r="AE38" s="64"/>
      <c r="AF38" s="64"/>
      <c r="AG38" s="64">
        <f>K38*M38/144*AB38+(SUM(AC38:AE38))</f>
        <v>25.622187499999999</v>
      </c>
      <c r="AH38" s="42">
        <f t="shared" si="0"/>
        <v>307.46625</v>
      </c>
    </row>
    <row r="39" spans="1:34" ht="22.5" customHeight="1">
      <c r="A39" s="88" t="str">
        <f>IF(B39&lt;&gt;"",COUNTA($B$16:B39),"")</f>
        <v/>
      </c>
      <c r="B39" s="104"/>
      <c r="C39" s="33"/>
      <c r="D39" s="99"/>
      <c r="E39" s="98"/>
      <c r="F39" s="78"/>
      <c r="G39" s="33"/>
      <c r="H39" s="37"/>
      <c r="I39" s="37"/>
      <c r="J39" s="33"/>
      <c r="K39" s="38"/>
      <c r="L39" s="80"/>
      <c r="M39" s="38"/>
      <c r="N39" s="35"/>
      <c r="O39" s="36"/>
      <c r="P39" s="186"/>
      <c r="Q39" s="172"/>
      <c r="R39" s="172"/>
      <c r="S39" s="172"/>
      <c r="T39" s="172"/>
      <c r="U39" s="71"/>
      <c r="V39" s="50"/>
      <c r="W39" s="50"/>
      <c r="X39" s="81"/>
      <c r="Y39" s="50"/>
      <c r="Z39" s="50"/>
      <c r="AA39" s="50"/>
      <c r="AB39" s="64"/>
      <c r="AC39" s="64"/>
      <c r="AD39" s="64"/>
      <c r="AE39" s="64"/>
      <c r="AF39" s="64"/>
      <c r="AG39" s="64"/>
      <c r="AH39" s="42" t="str">
        <f t="shared" si="0"/>
        <v/>
      </c>
    </row>
    <row r="40" spans="1:34" ht="22.5" customHeight="1">
      <c r="A40" s="89">
        <f>IF(B40&lt;&gt;"",COUNTA($B$16:B40),"")</f>
        <v>18</v>
      </c>
      <c r="B40" s="105" t="s">
        <v>73</v>
      </c>
      <c r="C40" s="33" t="s">
        <v>43</v>
      </c>
      <c r="D40" s="98">
        <v>13</v>
      </c>
      <c r="E40" s="98"/>
      <c r="F40" s="33" t="s">
        <v>54</v>
      </c>
      <c r="G40" s="33" t="s">
        <v>116</v>
      </c>
      <c r="H40" s="79" t="s">
        <v>45</v>
      </c>
      <c r="I40" s="79" t="s">
        <v>47</v>
      </c>
      <c r="J40" s="39" t="s">
        <v>46</v>
      </c>
      <c r="K40" s="34">
        <v>109.375</v>
      </c>
      <c r="L40" s="35" t="str">
        <f t="shared" ref="L40:L42" si="33">IF(K40&lt;&gt;"","X","")</f>
        <v>X</v>
      </c>
      <c r="M40" s="35">
        <v>43.625</v>
      </c>
      <c r="N40" s="35" t="str">
        <f t="shared" ref="N40:N42" si="34">IF(M40&lt;&gt;"","X","")</f>
        <v>X</v>
      </c>
      <c r="O40" s="36">
        <v>1.25</v>
      </c>
      <c r="P40" s="186">
        <v>1</v>
      </c>
      <c r="Q40" s="172">
        <v>1</v>
      </c>
      <c r="R40" s="172">
        <v>1</v>
      </c>
      <c r="S40" s="172">
        <v>1</v>
      </c>
      <c r="T40" s="172"/>
      <c r="U40" s="71">
        <f>SUM(P40:T40)</f>
        <v>4</v>
      </c>
      <c r="V40" s="50">
        <f>K40*M40/144</f>
        <v>33.135308159722221</v>
      </c>
      <c r="W40" s="50">
        <f t="shared" ref="W40:W42" si="35">V40*U40</f>
        <v>132.54123263888889</v>
      </c>
      <c r="X40" s="109">
        <v>26.48</v>
      </c>
      <c r="Y40" s="50">
        <f t="shared" ref="Y40:Y42" si="36">X40*U40</f>
        <v>105.92</v>
      </c>
      <c r="Z40" s="50">
        <f t="shared" si="4"/>
        <v>3.0783708593750001</v>
      </c>
      <c r="AA40" s="50">
        <f t="shared" si="5"/>
        <v>12.3134834375</v>
      </c>
      <c r="AB40" s="64">
        <v>4.01</v>
      </c>
      <c r="AC40" s="64"/>
      <c r="AD40" s="64"/>
      <c r="AE40" s="64"/>
      <c r="AF40" s="77">
        <f>SUM(AG40:AG42)</f>
        <v>189.45491644965279</v>
      </c>
      <c r="AG40" s="64">
        <f>K40*M40/144*AB40+(SUM(AC40:AE40))</f>
        <v>132.87258572048611</v>
      </c>
      <c r="AH40" s="42">
        <f t="shared" si="0"/>
        <v>531.49034288194446</v>
      </c>
    </row>
    <row r="41" spans="1:34" ht="22.5" customHeight="1">
      <c r="A41" s="89">
        <f>IF(B41&lt;&gt;"",COUNTA($B$16:B41),"")</f>
        <v>19</v>
      </c>
      <c r="B41" s="105" t="s">
        <v>73</v>
      </c>
      <c r="C41" s="33" t="s">
        <v>43</v>
      </c>
      <c r="D41" s="98">
        <v>13</v>
      </c>
      <c r="E41" s="98"/>
      <c r="F41" s="33" t="s">
        <v>54</v>
      </c>
      <c r="G41" s="33" t="s">
        <v>116</v>
      </c>
      <c r="H41" s="79" t="s">
        <v>45</v>
      </c>
      <c r="I41" s="79" t="s">
        <v>47</v>
      </c>
      <c r="J41" s="39" t="s">
        <v>46</v>
      </c>
      <c r="K41" s="34">
        <v>62.125</v>
      </c>
      <c r="L41" s="38" t="str">
        <f t="shared" si="33"/>
        <v>X</v>
      </c>
      <c r="M41" s="35">
        <v>25.5</v>
      </c>
      <c r="N41" s="35" t="str">
        <f t="shared" si="34"/>
        <v>X</v>
      </c>
      <c r="O41" s="36">
        <v>1.25</v>
      </c>
      <c r="P41" s="186">
        <f t="shared" ref="P41:S42" si="37">P40</f>
        <v>1</v>
      </c>
      <c r="Q41" s="172">
        <f t="shared" si="37"/>
        <v>1</v>
      </c>
      <c r="R41" s="172">
        <f t="shared" si="37"/>
        <v>1</v>
      </c>
      <c r="S41" s="172">
        <f t="shared" si="37"/>
        <v>1</v>
      </c>
      <c r="T41" s="172"/>
      <c r="U41" s="71">
        <f>SUM(P41:T41)</f>
        <v>4</v>
      </c>
      <c r="V41" s="50">
        <f>K41*M41/144</f>
        <v>11.001302083333334</v>
      </c>
      <c r="W41" s="50">
        <f t="shared" si="35"/>
        <v>44.005208333333336</v>
      </c>
      <c r="X41" s="81">
        <f>K41*M41/144</f>
        <v>11.001302083333334</v>
      </c>
      <c r="Y41" s="50">
        <f t="shared" si="36"/>
        <v>44.005208333333336</v>
      </c>
      <c r="Z41" s="50">
        <f t="shared" si="4"/>
        <v>1.0220544075000002</v>
      </c>
      <c r="AA41" s="50">
        <f t="shared" si="5"/>
        <v>4.0882176300000008</v>
      </c>
      <c r="AB41" s="64">
        <v>3.71</v>
      </c>
      <c r="AC41" s="64"/>
      <c r="AD41" s="64"/>
      <c r="AE41" s="64"/>
      <c r="AF41" s="64"/>
      <c r="AG41" s="64">
        <f>K41*M41/144*AB41+(SUM(AC41:AE41))</f>
        <v>40.814830729166665</v>
      </c>
      <c r="AH41" s="42">
        <f t="shared" si="0"/>
        <v>163.25932291666666</v>
      </c>
    </row>
    <row r="42" spans="1:34" ht="22.5" customHeight="1">
      <c r="A42" s="89">
        <f>IF(B42&lt;&gt;"",COUNTA($B$16:B42),"")</f>
        <v>20</v>
      </c>
      <c r="B42" s="105" t="s">
        <v>73</v>
      </c>
      <c r="C42" s="33" t="s">
        <v>43</v>
      </c>
      <c r="D42" s="98">
        <v>13</v>
      </c>
      <c r="E42" s="98"/>
      <c r="F42" s="33" t="s">
        <v>54</v>
      </c>
      <c r="G42" s="33" t="s">
        <v>116</v>
      </c>
      <c r="H42" s="79" t="s">
        <v>45</v>
      </c>
      <c r="I42" s="79" t="s">
        <v>47</v>
      </c>
      <c r="J42" s="39" t="s">
        <v>46</v>
      </c>
      <c r="K42" s="34">
        <v>24</v>
      </c>
      <c r="L42" s="38" t="str">
        <f t="shared" si="33"/>
        <v>X</v>
      </c>
      <c r="M42" s="35">
        <v>25.5</v>
      </c>
      <c r="N42" s="35" t="str">
        <f t="shared" si="34"/>
        <v>X</v>
      </c>
      <c r="O42" s="36">
        <v>1.25</v>
      </c>
      <c r="P42" s="186">
        <f t="shared" si="37"/>
        <v>1</v>
      </c>
      <c r="Q42" s="172">
        <f t="shared" si="37"/>
        <v>1</v>
      </c>
      <c r="R42" s="172">
        <f t="shared" si="37"/>
        <v>1</v>
      </c>
      <c r="S42" s="172">
        <f t="shared" si="37"/>
        <v>1</v>
      </c>
      <c r="T42" s="172"/>
      <c r="U42" s="71">
        <f>SUM(P42:T42)</f>
        <v>4</v>
      </c>
      <c r="V42" s="50">
        <f>K42*M42/144</f>
        <v>4.25</v>
      </c>
      <c r="W42" s="50">
        <f t="shared" si="35"/>
        <v>17</v>
      </c>
      <c r="X42" s="81">
        <f>K42*M42/144</f>
        <v>4.25</v>
      </c>
      <c r="Y42" s="50">
        <f t="shared" si="36"/>
        <v>17</v>
      </c>
      <c r="Z42" s="50">
        <f t="shared" si="4"/>
        <v>0.39483792000000001</v>
      </c>
      <c r="AA42" s="50">
        <f t="shared" si="5"/>
        <v>1.57935168</v>
      </c>
      <c r="AB42" s="64">
        <v>3.71</v>
      </c>
      <c r="AC42" s="64"/>
      <c r="AD42" s="64"/>
      <c r="AE42" s="64"/>
      <c r="AF42" s="64"/>
      <c r="AG42" s="64">
        <f>K42*M42/144*AB42+(SUM(AC42:AE42))</f>
        <v>15.7675</v>
      </c>
      <c r="AH42" s="42">
        <f t="shared" si="0"/>
        <v>63.07</v>
      </c>
    </row>
    <row r="43" spans="1:34" ht="22.5" customHeight="1">
      <c r="A43" s="88" t="str">
        <f>IF(B43&lt;&gt;"",COUNTA($B$16:B43),"")</f>
        <v/>
      </c>
      <c r="B43" s="104"/>
      <c r="C43" s="33"/>
      <c r="D43" s="99"/>
      <c r="E43" s="98"/>
      <c r="F43" s="78"/>
      <c r="G43" s="33"/>
      <c r="H43" s="37"/>
      <c r="I43" s="37"/>
      <c r="J43" s="33"/>
      <c r="K43" s="38"/>
      <c r="L43" s="80"/>
      <c r="M43" s="38"/>
      <c r="N43" s="35"/>
      <c r="O43" s="36"/>
      <c r="P43" s="186"/>
      <c r="Q43" s="172"/>
      <c r="R43" s="172"/>
      <c r="S43" s="172"/>
      <c r="T43" s="172"/>
      <c r="U43" s="71"/>
      <c r="V43" s="50"/>
      <c r="W43" s="50"/>
      <c r="X43" s="81"/>
      <c r="Y43" s="50"/>
      <c r="Z43" s="50"/>
      <c r="AA43" s="50"/>
      <c r="AB43" s="64"/>
      <c r="AC43" s="64"/>
      <c r="AD43" s="64"/>
      <c r="AE43" s="64"/>
      <c r="AF43" s="64"/>
      <c r="AG43" s="64"/>
      <c r="AH43" s="42" t="str">
        <f t="shared" si="0"/>
        <v/>
      </c>
    </row>
    <row r="44" spans="1:34" ht="22.5" customHeight="1">
      <c r="A44" s="89">
        <f>IF(B44&lt;&gt;"",COUNTA($B$16:B44),"")</f>
        <v>21</v>
      </c>
      <c r="B44" s="105" t="s">
        <v>73</v>
      </c>
      <c r="C44" s="33" t="s">
        <v>65</v>
      </c>
      <c r="D44" s="98">
        <v>16</v>
      </c>
      <c r="E44" s="98"/>
      <c r="F44" s="33" t="s">
        <v>54</v>
      </c>
      <c r="G44" s="33" t="s">
        <v>116</v>
      </c>
      <c r="H44" s="79" t="s">
        <v>45</v>
      </c>
      <c r="I44" s="79" t="s">
        <v>47</v>
      </c>
      <c r="J44" s="39" t="s">
        <v>46</v>
      </c>
      <c r="K44" s="34">
        <v>109.375</v>
      </c>
      <c r="L44" s="35" t="str">
        <f t="shared" ref="L44:L46" si="38">IF(K44&lt;&gt;"","X","")</f>
        <v>X</v>
      </c>
      <c r="M44" s="35">
        <v>43.625</v>
      </c>
      <c r="N44" s="35" t="str">
        <f t="shared" ref="N44:N46" si="39">IF(M44&lt;&gt;"","X","")</f>
        <v>X</v>
      </c>
      <c r="O44" s="36">
        <v>1.25</v>
      </c>
      <c r="P44" s="186">
        <v>4</v>
      </c>
      <c r="Q44" s="172">
        <v>4</v>
      </c>
      <c r="R44" s="172">
        <v>4</v>
      </c>
      <c r="S44" s="172">
        <v>3</v>
      </c>
      <c r="T44" s="172">
        <v>1</v>
      </c>
      <c r="U44" s="71">
        <f>SUM(P44:T44)</f>
        <v>16</v>
      </c>
      <c r="V44" s="50">
        <f>K44*M44/144</f>
        <v>33.135308159722221</v>
      </c>
      <c r="W44" s="50">
        <f t="shared" ref="W44:W46" si="40">V44*U44</f>
        <v>530.16493055555554</v>
      </c>
      <c r="X44" s="109">
        <v>26.48</v>
      </c>
      <c r="Y44" s="50">
        <f t="shared" ref="Y44:Y46" si="41">X44*U44</f>
        <v>423.68</v>
      </c>
      <c r="Z44" s="50">
        <f t="shared" si="4"/>
        <v>3.0783708593750001</v>
      </c>
      <c r="AA44" s="50">
        <f t="shared" si="5"/>
        <v>49.253933750000002</v>
      </c>
      <c r="AB44" s="64">
        <v>4.01</v>
      </c>
      <c r="AC44" s="64"/>
      <c r="AD44" s="64"/>
      <c r="AE44" s="64"/>
      <c r="AF44" s="77">
        <f>SUM(AG44:AG46)</f>
        <v>189.45491644965279</v>
      </c>
      <c r="AG44" s="64">
        <f>K44*M44/144*AB44+(SUM(AC44:AE44))</f>
        <v>132.87258572048611</v>
      </c>
      <c r="AH44" s="42">
        <f t="shared" si="0"/>
        <v>2125.9613715277778</v>
      </c>
    </row>
    <row r="45" spans="1:34" ht="22.5" customHeight="1">
      <c r="A45" s="89">
        <f>IF(B45&lt;&gt;"",COUNTA($B$16:B45),"")</f>
        <v>22</v>
      </c>
      <c r="B45" s="105" t="s">
        <v>73</v>
      </c>
      <c r="C45" s="33" t="s">
        <v>65</v>
      </c>
      <c r="D45" s="98">
        <v>16</v>
      </c>
      <c r="E45" s="98"/>
      <c r="F45" s="33" t="s">
        <v>54</v>
      </c>
      <c r="G45" s="33" t="s">
        <v>116</v>
      </c>
      <c r="H45" s="79" t="s">
        <v>45</v>
      </c>
      <c r="I45" s="79" t="s">
        <v>47</v>
      </c>
      <c r="J45" s="39" t="s">
        <v>46</v>
      </c>
      <c r="K45" s="34">
        <v>62.125</v>
      </c>
      <c r="L45" s="38" t="str">
        <f t="shared" si="38"/>
        <v>X</v>
      </c>
      <c r="M45" s="35">
        <v>25.5</v>
      </c>
      <c r="N45" s="35" t="str">
        <f t="shared" si="39"/>
        <v>X</v>
      </c>
      <c r="O45" s="36">
        <v>1.25</v>
      </c>
      <c r="P45" s="186">
        <f t="shared" ref="P45:T46" si="42">P44</f>
        <v>4</v>
      </c>
      <c r="Q45" s="172">
        <f t="shared" si="42"/>
        <v>4</v>
      </c>
      <c r="R45" s="172">
        <f t="shared" si="42"/>
        <v>4</v>
      </c>
      <c r="S45" s="172">
        <f t="shared" si="42"/>
        <v>3</v>
      </c>
      <c r="T45" s="172">
        <f t="shared" si="42"/>
        <v>1</v>
      </c>
      <c r="U45" s="71">
        <f>SUM(P45:T45)</f>
        <v>16</v>
      </c>
      <c r="V45" s="50">
        <f>K45*M45/144</f>
        <v>11.001302083333334</v>
      </c>
      <c r="W45" s="50">
        <f t="shared" si="40"/>
        <v>176.02083333333334</v>
      </c>
      <c r="X45" s="81">
        <f>K45*M45/144</f>
        <v>11.001302083333334</v>
      </c>
      <c r="Y45" s="50">
        <f t="shared" si="41"/>
        <v>176.02083333333334</v>
      </c>
      <c r="Z45" s="50">
        <f t="shared" si="4"/>
        <v>1.0220544075000002</v>
      </c>
      <c r="AA45" s="50">
        <f t="shared" si="5"/>
        <v>16.352870520000003</v>
      </c>
      <c r="AB45" s="64">
        <v>3.71</v>
      </c>
      <c r="AC45" s="64"/>
      <c r="AD45" s="64"/>
      <c r="AE45" s="64"/>
      <c r="AF45" s="64"/>
      <c r="AG45" s="64">
        <f>K45*M45/144*AB45+(SUM(AC45:AE45))</f>
        <v>40.814830729166665</v>
      </c>
      <c r="AH45" s="42">
        <f t="shared" si="0"/>
        <v>653.03729166666665</v>
      </c>
    </row>
    <row r="46" spans="1:34" ht="22.5" customHeight="1">
      <c r="A46" s="89">
        <f>IF(B46&lt;&gt;"",COUNTA($B$16:B46),"")</f>
        <v>23</v>
      </c>
      <c r="B46" s="105" t="s">
        <v>73</v>
      </c>
      <c r="C46" s="33" t="s">
        <v>65</v>
      </c>
      <c r="D46" s="98">
        <v>16</v>
      </c>
      <c r="E46" s="98"/>
      <c r="F46" s="33" t="s">
        <v>54</v>
      </c>
      <c r="G46" s="33" t="s">
        <v>116</v>
      </c>
      <c r="H46" s="79" t="s">
        <v>45</v>
      </c>
      <c r="I46" s="79" t="s">
        <v>47</v>
      </c>
      <c r="J46" s="39" t="s">
        <v>46</v>
      </c>
      <c r="K46" s="34">
        <v>24</v>
      </c>
      <c r="L46" s="38" t="str">
        <f t="shared" si="38"/>
        <v>X</v>
      </c>
      <c r="M46" s="35">
        <v>25.5</v>
      </c>
      <c r="N46" s="35" t="str">
        <f t="shared" si="39"/>
        <v>X</v>
      </c>
      <c r="O46" s="36">
        <v>1.25</v>
      </c>
      <c r="P46" s="186">
        <f t="shared" si="42"/>
        <v>4</v>
      </c>
      <c r="Q46" s="172">
        <f t="shared" si="42"/>
        <v>4</v>
      </c>
      <c r="R46" s="172">
        <f t="shared" si="42"/>
        <v>4</v>
      </c>
      <c r="S46" s="172">
        <f t="shared" si="42"/>
        <v>3</v>
      </c>
      <c r="T46" s="172">
        <f t="shared" si="42"/>
        <v>1</v>
      </c>
      <c r="U46" s="71">
        <f>SUM(P46:T46)</f>
        <v>16</v>
      </c>
      <c r="V46" s="50">
        <f>K46*M46/144</f>
        <v>4.25</v>
      </c>
      <c r="W46" s="50">
        <f t="shared" si="40"/>
        <v>68</v>
      </c>
      <c r="X46" s="81">
        <f>K46*M46/144</f>
        <v>4.25</v>
      </c>
      <c r="Y46" s="50">
        <f t="shared" si="41"/>
        <v>68</v>
      </c>
      <c r="Z46" s="50">
        <f t="shared" si="4"/>
        <v>0.39483792000000001</v>
      </c>
      <c r="AA46" s="50">
        <f t="shared" si="5"/>
        <v>6.3174067200000001</v>
      </c>
      <c r="AB46" s="64">
        <v>3.71</v>
      </c>
      <c r="AC46" s="64"/>
      <c r="AD46" s="64"/>
      <c r="AE46" s="64"/>
      <c r="AF46" s="64"/>
      <c r="AG46" s="64">
        <f>K46*M46/144*AB46+(SUM(AC46:AE46))</f>
        <v>15.7675</v>
      </c>
      <c r="AH46" s="42">
        <f t="shared" si="0"/>
        <v>252.28</v>
      </c>
    </row>
    <row r="47" spans="1:34" ht="22.5" customHeight="1">
      <c r="A47" s="88" t="str">
        <f>IF(B47&lt;&gt;"",COUNTA($B$16:B47),"")</f>
        <v/>
      </c>
      <c r="B47" s="104"/>
      <c r="C47" s="33"/>
      <c r="D47" s="99"/>
      <c r="E47" s="98"/>
      <c r="F47" s="78"/>
      <c r="G47" s="33"/>
      <c r="H47" s="37"/>
      <c r="I47" s="37"/>
      <c r="J47" s="33"/>
      <c r="K47" s="38"/>
      <c r="L47" s="80"/>
      <c r="M47" s="38"/>
      <c r="N47" s="35"/>
      <c r="O47" s="36"/>
      <c r="P47" s="186"/>
      <c r="Q47" s="172"/>
      <c r="R47" s="172"/>
      <c r="S47" s="172"/>
      <c r="T47" s="172"/>
      <c r="U47" s="71"/>
      <c r="V47" s="50"/>
      <c r="W47" s="50"/>
      <c r="X47" s="81"/>
      <c r="Y47" s="50"/>
      <c r="Z47" s="50"/>
      <c r="AA47" s="50"/>
      <c r="AB47" s="64"/>
      <c r="AC47" s="64"/>
      <c r="AD47" s="64"/>
      <c r="AE47" s="64"/>
      <c r="AF47" s="64"/>
      <c r="AG47" s="64"/>
      <c r="AH47" s="42" t="str">
        <f t="shared" si="0"/>
        <v/>
      </c>
    </row>
    <row r="48" spans="1:34" ht="22.5" customHeight="1">
      <c r="A48" s="89">
        <f>IF(B48&lt;&gt;"",COUNTA($B$16:B48),"")</f>
        <v>24</v>
      </c>
      <c r="B48" s="105" t="s">
        <v>74</v>
      </c>
      <c r="C48" s="33" t="s">
        <v>65</v>
      </c>
      <c r="D48" s="98">
        <v>22</v>
      </c>
      <c r="E48" s="98"/>
      <c r="F48" s="33" t="s">
        <v>54</v>
      </c>
      <c r="G48" s="33" t="s">
        <v>116</v>
      </c>
      <c r="H48" s="79" t="s">
        <v>45</v>
      </c>
      <c r="I48" s="79" t="s">
        <v>47</v>
      </c>
      <c r="J48" s="39" t="s">
        <v>46</v>
      </c>
      <c r="K48" s="34">
        <v>90.125</v>
      </c>
      <c r="L48" s="35" t="str">
        <f t="shared" ref="L48:L51" si="43">IF(K48&lt;&gt;"","X","")</f>
        <v>X</v>
      </c>
      <c r="M48" s="35">
        <v>43.625</v>
      </c>
      <c r="N48" s="35" t="str">
        <f t="shared" ref="N48:N51" si="44">IF(M48&lt;&gt;"","X","")</f>
        <v>X</v>
      </c>
      <c r="O48" s="36">
        <v>1.25</v>
      </c>
      <c r="P48" s="186">
        <v>1</v>
      </c>
      <c r="Q48" s="172">
        <v>1</v>
      </c>
      <c r="R48" s="172">
        <v>1</v>
      </c>
      <c r="S48" s="172">
        <v>1</v>
      </c>
      <c r="T48" s="172"/>
      <c r="U48" s="71">
        <f>SUM(P48:T48)</f>
        <v>4</v>
      </c>
      <c r="V48" s="50">
        <f>K48*M48/144</f>
        <v>27.303493923611111</v>
      </c>
      <c r="W48" s="50">
        <f t="shared" ref="W48:W51" si="45">V48*U48</f>
        <v>109.21397569444444</v>
      </c>
      <c r="X48" s="109">
        <v>27.28</v>
      </c>
      <c r="Y48" s="50">
        <f t="shared" ref="Y48:Y51" si="46">X48*U48</f>
        <v>109.12</v>
      </c>
      <c r="Z48" s="50">
        <f t="shared" ref="Z48:Z51" si="47">V48*0.09290304</f>
        <v>2.5365775881250001</v>
      </c>
      <c r="AA48" s="50">
        <f t="shared" ref="AA48:AA51" si="48">Z48*U48</f>
        <v>10.1463103525</v>
      </c>
      <c r="AB48" s="64">
        <v>4.01</v>
      </c>
      <c r="AC48" s="64"/>
      <c r="AD48" s="64"/>
      <c r="AE48" s="64"/>
      <c r="AF48" s="77">
        <f>SUM(AG48:AG51)</f>
        <v>228.48236219618053</v>
      </c>
      <c r="AG48" s="64">
        <f>K48*M48/144*AB48+(SUM(AC48:AE48))</f>
        <v>109.48701063368055</v>
      </c>
      <c r="AH48" s="42">
        <f t="shared" si="0"/>
        <v>437.94804253472222</v>
      </c>
    </row>
    <row r="49" spans="1:34" ht="22.5" customHeight="1">
      <c r="A49" s="89">
        <f>IF(B49&lt;&gt;"",COUNTA($B$16:B49),"")</f>
        <v>25</v>
      </c>
      <c r="B49" s="105" t="s">
        <v>74</v>
      </c>
      <c r="C49" s="33" t="s">
        <v>65</v>
      </c>
      <c r="D49" s="98">
        <v>22</v>
      </c>
      <c r="E49" s="98"/>
      <c r="F49" s="33" t="s">
        <v>54</v>
      </c>
      <c r="G49" s="33" t="s">
        <v>116</v>
      </c>
      <c r="H49" s="79" t="s">
        <v>58</v>
      </c>
      <c r="I49" s="79" t="s">
        <v>47</v>
      </c>
      <c r="J49" s="39" t="s">
        <v>46</v>
      </c>
      <c r="K49" s="34">
        <v>92.25</v>
      </c>
      <c r="L49" s="38" t="str">
        <f t="shared" si="43"/>
        <v>X</v>
      </c>
      <c r="M49" s="35">
        <v>25.5</v>
      </c>
      <c r="N49" s="35" t="str">
        <f t="shared" si="44"/>
        <v>X</v>
      </c>
      <c r="O49" s="36">
        <v>1.25</v>
      </c>
      <c r="P49" s="186">
        <f t="shared" ref="P49:S51" si="49">P48</f>
        <v>1</v>
      </c>
      <c r="Q49" s="172">
        <f t="shared" si="49"/>
        <v>1</v>
      </c>
      <c r="R49" s="172">
        <f t="shared" si="49"/>
        <v>1</v>
      </c>
      <c r="S49" s="172">
        <f t="shared" si="49"/>
        <v>1</v>
      </c>
      <c r="T49" s="172"/>
      <c r="U49" s="71">
        <f>SUM(P49:T49)</f>
        <v>4</v>
      </c>
      <c r="V49" s="50">
        <f>K49*M49/144</f>
        <v>16.3359375</v>
      </c>
      <c r="W49" s="50">
        <f t="shared" si="45"/>
        <v>65.34375</v>
      </c>
      <c r="X49" s="81">
        <f>K49*M49/144</f>
        <v>16.3359375</v>
      </c>
      <c r="Y49" s="50">
        <f t="shared" si="46"/>
        <v>65.34375</v>
      </c>
      <c r="Z49" s="50">
        <f t="shared" si="47"/>
        <v>1.5176582550000002</v>
      </c>
      <c r="AA49" s="50">
        <f t="shared" si="48"/>
        <v>6.0706330200000007</v>
      </c>
      <c r="AB49" s="64">
        <v>3.71</v>
      </c>
      <c r="AC49" s="64"/>
      <c r="AD49" s="64"/>
      <c r="AE49" s="64"/>
      <c r="AF49" s="64"/>
      <c r="AG49" s="64">
        <f>K49*M49/144*AB49+(SUM(AC49:AE49))</f>
        <v>60.606328124999997</v>
      </c>
      <c r="AH49" s="42">
        <f t="shared" si="0"/>
        <v>242.42531249999999</v>
      </c>
    </row>
    <row r="50" spans="1:34" ht="22.5" customHeight="1">
      <c r="A50" s="89">
        <f>IF(B50&lt;&gt;"",COUNTA($B$16:B50),"")</f>
        <v>26</v>
      </c>
      <c r="B50" s="105" t="s">
        <v>74</v>
      </c>
      <c r="C50" s="33" t="s">
        <v>65</v>
      </c>
      <c r="D50" s="98">
        <v>22</v>
      </c>
      <c r="E50" s="98"/>
      <c r="F50" s="33" t="s">
        <v>54</v>
      </c>
      <c r="G50" s="33" t="s">
        <v>116</v>
      </c>
      <c r="H50" s="79" t="s">
        <v>58</v>
      </c>
      <c r="I50" s="79" t="s">
        <v>47</v>
      </c>
      <c r="J50" s="39" t="s">
        <v>46</v>
      </c>
      <c r="K50" s="34">
        <v>58.875</v>
      </c>
      <c r="L50" s="38" t="str">
        <f t="shared" si="43"/>
        <v>X</v>
      </c>
      <c r="M50" s="35">
        <v>25.5</v>
      </c>
      <c r="N50" s="35" t="str">
        <f t="shared" si="44"/>
        <v>X</v>
      </c>
      <c r="O50" s="36">
        <v>1.25</v>
      </c>
      <c r="P50" s="186">
        <f t="shared" si="49"/>
        <v>1</v>
      </c>
      <c r="Q50" s="172">
        <f t="shared" si="49"/>
        <v>1</v>
      </c>
      <c r="R50" s="172">
        <f t="shared" si="49"/>
        <v>1</v>
      </c>
      <c r="S50" s="172">
        <f t="shared" si="49"/>
        <v>1</v>
      </c>
      <c r="T50" s="172"/>
      <c r="U50" s="71">
        <f>SUM(P50:T50)</f>
        <v>4</v>
      </c>
      <c r="V50" s="50">
        <f>K50*M50/144</f>
        <v>10.42578125</v>
      </c>
      <c r="W50" s="50">
        <f t="shared" si="45"/>
        <v>41.703125</v>
      </c>
      <c r="X50" s="81">
        <f>K50*M50/144</f>
        <v>10.42578125</v>
      </c>
      <c r="Y50" s="50">
        <f t="shared" si="46"/>
        <v>41.703125</v>
      </c>
      <c r="Z50" s="50">
        <f t="shared" si="47"/>
        <v>0.96858677250000003</v>
      </c>
      <c r="AA50" s="50">
        <f t="shared" si="48"/>
        <v>3.8743470900000001</v>
      </c>
      <c r="AB50" s="64">
        <v>3.71</v>
      </c>
      <c r="AC50" s="64"/>
      <c r="AD50" s="64"/>
      <c r="AE50" s="64"/>
      <c r="AF50" s="64"/>
      <c r="AG50" s="64">
        <f>K50*M50/144*AB50+(SUM(AC50:AE50))</f>
        <v>38.679648437499999</v>
      </c>
      <c r="AH50" s="42">
        <f t="shared" si="0"/>
        <v>154.71859375</v>
      </c>
    </row>
    <row r="51" spans="1:34" ht="22.5" customHeight="1">
      <c r="A51" s="89">
        <f>IF(B51&lt;&gt;"",COUNTA($B$16:B51),"")</f>
        <v>27</v>
      </c>
      <c r="B51" s="105" t="s">
        <v>74</v>
      </c>
      <c r="C51" s="33" t="s">
        <v>65</v>
      </c>
      <c r="D51" s="98">
        <v>22</v>
      </c>
      <c r="E51" s="98"/>
      <c r="F51" s="33" t="s">
        <v>54</v>
      </c>
      <c r="G51" s="33" t="s">
        <v>116</v>
      </c>
      <c r="H51" s="79" t="s">
        <v>45</v>
      </c>
      <c r="I51" s="79" t="s">
        <v>47</v>
      </c>
      <c r="J51" s="39" t="s">
        <v>46</v>
      </c>
      <c r="K51" s="34">
        <v>30</v>
      </c>
      <c r="L51" s="38" t="str">
        <f t="shared" si="43"/>
        <v>X</v>
      </c>
      <c r="M51" s="35">
        <v>25.5</v>
      </c>
      <c r="N51" s="35" t="str">
        <f t="shared" si="44"/>
        <v>X</v>
      </c>
      <c r="O51" s="36">
        <v>1.25</v>
      </c>
      <c r="P51" s="186">
        <f t="shared" si="49"/>
        <v>1</v>
      </c>
      <c r="Q51" s="172">
        <f t="shared" si="49"/>
        <v>1</v>
      </c>
      <c r="R51" s="172">
        <f t="shared" si="49"/>
        <v>1</v>
      </c>
      <c r="S51" s="172">
        <f t="shared" si="49"/>
        <v>1</v>
      </c>
      <c r="T51" s="172"/>
      <c r="U51" s="71">
        <f>SUM(P51:T51)</f>
        <v>4</v>
      </c>
      <c r="V51" s="50">
        <f>K51*M51/144</f>
        <v>5.3125</v>
      </c>
      <c r="W51" s="50">
        <f t="shared" si="45"/>
        <v>21.25</v>
      </c>
      <c r="X51" s="81">
        <f>K51*M51/144</f>
        <v>5.3125</v>
      </c>
      <c r="Y51" s="50">
        <f t="shared" si="46"/>
        <v>21.25</v>
      </c>
      <c r="Z51" s="50">
        <f t="shared" si="47"/>
        <v>0.49354740000000002</v>
      </c>
      <c r="AA51" s="50">
        <f t="shared" si="48"/>
        <v>1.9741896000000001</v>
      </c>
      <c r="AB51" s="64">
        <v>3.71</v>
      </c>
      <c r="AC51" s="64"/>
      <c r="AD51" s="64"/>
      <c r="AE51" s="64"/>
      <c r="AF51" s="64"/>
      <c r="AG51" s="64">
        <f>K51*M51/144*AB51+(SUM(AC51:AE51))</f>
        <v>19.709375000000001</v>
      </c>
      <c r="AH51" s="42">
        <f t="shared" si="0"/>
        <v>78.837500000000006</v>
      </c>
    </row>
    <row r="52" spans="1:34" ht="22.5" customHeight="1">
      <c r="A52" s="88" t="str">
        <f>IF(B52&lt;&gt;"",COUNTA($B$16:B52),"")</f>
        <v/>
      </c>
      <c r="B52" s="104"/>
      <c r="C52" s="33"/>
      <c r="D52" s="99"/>
      <c r="E52" s="98"/>
      <c r="F52" s="78"/>
      <c r="G52" s="33"/>
      <c r="H52" s="37"/>
      <c r="I52" s="37"/>
      <c r="J52" s="33"/>
      <c r="K52" s="38"/>
      <c r="L52" s="80"/>
      <c r="M52" s="38"/>
      <c r="N52" s="35"/>
      <c r="O52" s="36"/>
      <c r="P52" s="186"/>
      <c r="Q52" s="172"/>
      <c r="R52" s="172"/>
      <c r="S52" s="172"/>
      <c r="T52" s="172"/>
      <c r="U52" s="71"/>
      <c r="V52" s="50"/>
      <c r="W52" s="50"/>
      <c r="X52" s="81"/>
      <c r="Y52" s="50"/>
      <c r="Z52" s="50"/>
      <c r="AA52" s="50"/>
      <c r="AB52" s="64"/>
      <c r="AC52" s="64"/>
      <c r="AD52" s="64"/>
      <c r="AE52" s="64"/>
      <c r="AF52" s="64"/>
      <c r="AG52" s="64"/>
      <c r="AH52" s="42" t="str">
        <f t="shared" si="0"/>
        <v/>
      </c>
    </row>
    <row r="53" spans="1:34" ht="22.5" customHeight="1">
      <c r="A53" s="89">
        <f>IF(B53&lt;&gt;"",COUNTA($B$16:B53),"")</f>
        <v>28</v>
      </c>
      <c r="B53" s="105" t="s">
        <v>75</v>
      </c>
      <c r="C53" s="33" t="s">
        <v>65</v>
      </c>
      <c r="D53" s="98">
        <v>29</v>
      </c>
      <c r="E53" s="98"/>
      <c r="F53" s="33" t="s">
        <v>54</v>
      </c>
      <c r="G53" s="33" t="s">
        <v>116</v>
      </c>
      <c r="H53" s="79" t="s">
        <v>58</v>
      </c>
      <c r="I53" s="79" t="s">
        <v>47</v>
      </c>
      <c r="J53" s="39" t="s">
        <v>46</v>
      </c>
      <c r="K53" s="34">
        <v>78</v>
      </c>
      <c r="L53" s="35" t="str">
        <f t="shared" ref="L53:L57" si="50">IF(K53&lt;&gt;"","X","")</f>
        <v>X</v>
      </c>
      <c r="M53" s="108">
        <v>29.75</v>
      </c>
      <c r="N53" s="35" t="str">
        <f t="shared" ref="N53:N57" si="51">IF(M53&lt;&gt;"","X","")</f>
        <v>X</v>
      </c>
      <c r="O53" s="36">
        <v>1.25</v>
      </c>
      <c r="P53" s="186">
        <v>2</v>
      </c>
      <c r="Q53" s="172">
        <v>2</v>
      </c>
      <c r="R53" s="172">
        <v>2</v>
      </c>
      <c r="S53" s="172">
        <v>1</v>
      </c>
      <c r="T53" s="172">
        <v>1</v>
      </c>
      <c r="U53" s="71">
        <f>SUM(P53:T53)</f>
        <v>8</v>
      </c>
      <c r="V53" s="50">
        <f>K53*M53/144</f>
        <v>16.114583333333332</v>
      </c>
      <c r="W53" s="50">
        <f t="shared" ref="W53:W57" si="52">V53*U53</f>
        <v>128.91666666666666</v>
      </c>
      <c r="X53" s="109">
        <v>11.74</v>
      </c>
      <c r="Y53" s="50">
        <f t="shared" ref="Y53:Y57" si="53">X53*U53</f>
        <v>93.92</v>
      </c>
      <c r="Z53" s="50">
        <f t="shared" ref="Z53:Z57" si="54">V53*0.09290304</f>
        <v>1.4970937799999999</v>
      </c>
      <c r="AA53" s="50">
        <f t="shared" ref="AA53:AA57" si="55">Z53*U53</f>
        <v>11.976750239999999</v>
      </c>
      <c r="AB53" s="64">
        <v>4.01</v>
      </c>
      <c r="AC53" s="64"/>
      <c r="AD53" s="64"/>
      <c r="AE53" s="64"/>
      <c r="AF53" s="77">
        <f>SUM(AG53:AG57)</f>
        <v>192.62569010416667</v>
      </c>
      <c r="AG53" s="64">
        <f>K53*M53/144*AB53+(SUM(AC53:AE53))</f>
        <v>64.619479166666665</v>
      </c>
      <c r="AH53" s="42">
        <f t="shared" si="0"/>
        <v>516.95583333333332</v>
      </c>
    </row>
    <row r="54" spans="1:34" ht="22.5" customHeight="1">
      <c r="A54" s="89">
        <f>IF(B54&lt;&gt;"",COUNTA($B$16:B54),"")</f>
        <v>29</v>
      </c>
      <c r="B54" s="105" t="s">
        <v>75</v>
      </c>
      <c r="C54" s="33" t="s">
        <v>65</v>
      </c>
      <c r="D54" s="98">
        <v>29</v>
      </c>
      <c r="E54" s="98"/>
      <c r="F54" s="33" t="s">
        <v>54</v>
      </c>
      <c r="G54" s="33" t="s">
        <v>116</v>
      </c>
      <c r="H54" s="79" t="s">
        <v>58</v>
      </c>
      <c r="I54" s="79" t="s">
        <v>47</v>
      </c>
      <c r="J54" s="39" t="s">
        <v>46</v>
      </c>
      <c r="K54" s="34">
        <v>78</v>
      </c>
      <c r="L54" s="38" t="str">
        <f t="shared" si="50"/>
        <v>X</v>
      </c>
      <c r="M54" s="108">
        <v>28.875</v>
      </c>
      <c r="N54" s="35" t="str">
        <f t="shared" si="51"/>
        <v>X</v>
      </c>
      <c r="O54" s="36">
        <v>1.25</v>
      </c>
      <c r="P54" s="186">
        <f>P53</f>
        <v>2</v>
      </c>
      <c r="Q54" s="172">
        <f>Q53</f>
        <v>2</v>
      </c>
      <c r="R54" s="172">
        <f>R53</f>
        <v>2</v>
      </c>
      <c r="S54" s="172">
        <f>S53</f>
        <v>1</v>
      </c>
      <c r="T54" s="172">
        <f t="shared" ref="T54:T57" si="56">T53</f>
        <v>1</v>
      </c>
      <c r="U54" s="71">
        <f>SUM(P54:T54)</f>
        <v>8</v>
      </c>
      <c r="V54" s="50">
        <f>K54*M54/144</f>
        <v>15.640625</v>
      </c>
      <c r="W54" s="50">
        <f t="shared" si="52"/>
        <v>125.125</v>
      </c>
      <c r="X54" s="81">
        <f>K54*M54/144</f>
        <v>15.640625</v>
      </c>
      <c r="Y54" s="50">
        <f t="shared" si="53"/>
        <v>125.125</v>
      </c>
      <c r="Z54" s="50">
        <f t="shared" si="54"/>
        <v>1.45306161</v>
      </c>
      <c r="AA54" s="50">
        <f t="shared" si="55"/>
        <v>11.62449288</v>
      </c>
      <c r="AB54" s="64">
        <v>4.01</v>
      </c>
      <c r="AC54" s="64"/>
      <c r="AD54" s="64"/>
      <c r="AE54" s="64"/>
      <c r="AF54" s="64"/>
      <c r="AG54" s="64">
        <f>K54*M54/144*AB54+(SUM(AC54:AE54))</f>
        <v>62.718906249999996</v>
      </c>
      <c r="AH54" s="42">
        <f t="shared" si="0"/>
        <v>501.75124999999997</v>
      </c>
    </row>
    <row r="55" spans="1:34" ht="22.5" customHeight="1">
      <c r="A55" s="89">
        <f>IF(B55&lt;&gt;"",COUNTA($B$16:B55),"")</f>
        <v>30</v>
      </c>
      <c r="B55" s="105" t="s">
        <v>75</v>
      </c>
      <c r="C55" s="33" t="s">
        <v>65</v>
      </c>
      <c r="D55" s="98">
        <v>29</v>
      </c>
      <c r="E55" s="98"/>
      <c r="F55" s="33" t="s">
        <v>54</v>
      </c>
      <c r="G55" s="33" t="s">
        <v>116</v>
      </c>
      <c r="H55" s="79" t="s">
        <v>58</v>
      </c>
      <c r="I55" s="79" t="s">
        <v>47</v>
      </c>
      <c r="J55" s="39" t="s">
        <v>46</v>
      </c>
      <c r="K55" s="34">
        <v>53.25</v>
      </c>
      <c r="L55" s="38" t="str">
        <f t="shared" si="50"/>
        <v>X</v>
      </c>
      <c r="M55" s="35">
        <v>25.5</v>
      </c>
      <c r="N55" s="35" t="str">
        <f t="shared" si="51"/>
        <v>X</v>
      </c>
      <c r="O55" s="36">
        <v>1.25</v>
      </c>
      <c r="P55" s="186">
        <f t="shared" ref="P55:S57" si="57">P54</f>
        <v>2</v>
      </c>
      <c r="Q55" s="172">
        <f t="shared" si="57"/>
        <v>2</v>
      </c>
      <c r="R55" s="172">
        <f t="shared" si="57"/>
        <v>2</v>
      </c>
      <c r="S55" s="172">
        <f t="shared" si="57"/>
        <v>1</v>
      </c>
      <c r="T55" s="172">
        <f t="shared" si="56"/>
        <v>1</v>
      </c>
      <c r="U55" s="71">
        <f>SUM(P55:T55)</f>
        <v>8</v>
      </c>
      <c r="V55" s="50">
        <f>K55*M55/144</f>
        <v>9.4296875</v>
      </c>
      <c r="W55" s="50">
        <f t="shared" si="52"/>
        <v>75.4375</v>
      </c>
      <c r="X55" s="81">
        <f>K55*M55/144</f>
        <v>9.4296875</v>
      </c>
      <c r="Y55" s="50">
        <f t="shared" si="53"/>
        <v>75.4375</v>
      </c>
      <c r="Z55" s="50">
        <f t="shared" si="54"/>
        <v>0.87604663500000002</v>
      </c>
      <c r="AA55" s="50">
        <f t="shared" si="55"/>
        <v>7.0083730800000001</v>
      </c>
      <c r="AB55" s="64">
        <v>3.71</v>
      </c>
      <c r="AC55" s="64"/>
      <c r="AD55" s="64"/>
      <c r="AE55" s="64"/>
      <c r="AF55" s="64"/>
      <c r="AG55" s="64">
        <f>K55*M55/144*AB55+(SUM(AC55:AE55))</f>
        <v>34.984140625000002</v>
      </c>
      <c r="AH55" s="42">
        <f t="shared" si="0"/>
        <v>279.87312500000002</v>
      </c>
    </row>
    <row r="56" spans="1:34" ht="22.5" customHeight="1">
      <c r="A56" s="89">
        <f>IF(B56&lt;&gt;"",COUNTA($B$16:B56),"")</f>
        <v>31</v>
      </c>
      <c r="B56" s="105" t="s">
        <v>75</v>
      </c>
      <c r="C56" s="33" t="s">
        <v>65</v>
      </c>
      <c r="D56" s="98">
        <v>29</v>
      </c>
      <c r="E56" s="98"/>
      <c r="F56" s="33" t="s">
        <v>54</v>
      </c>
      <c r="G56" s="33" t="s">
        <v>116</v>
      </c>
      <c r="H56" s="79" t="s">
        <v>58</v>
      </c>
      <c r="I56" s="79" t="s">
        <v>47</v>
      </c>
      <c r="J56" s="39" t="s">
        <v>46</v>
      </c>
      <c r="K56" s="34">
        <v>25.125</v>
      </c>
      <c r="L56" s="38" t="str">
        <f t="shared" si="50"/>
        <v>X</v>
      </c>
      <c r="M56" s="35">
        <v>25.5</v>
      </c>
      <c r="N56" s="35" t="str">
        <f t="shared" si="51"/>
        <v>X</v>
      </c>
      <c r="O56" s="36">
        <v>1.25</v>
      </c>
      <c r="P56" s="186">
        <f t="shared" si="57"/>
        <v>2</v>
      </c>
      <c r="Q56" s="172">
        <f t="shared" si="57"/>
        <v>2</v>
      </c>
      <c r="R56" s="172">
        <f t="shared" si="57"/>
        <v>2</v>
      </c>
      <c r="S56" s="172">
        <f t="shared" si="57"/>
        <v>1</v>
      </c>
      <c r="T56" s="172">
        <f t="shared" si="56"/>
        <v>1</v>
      </c>
      <c r="U56" s="71">
        <f>SUM(P56:T56)</f>
        <v>8</v>
      </c>
      <c r="V56" s="50">
        <f>K56*M56/144</f>
        <v>4.44921875</v>
      </c>
      <c r="W56" s="50">
        <f t="shared" si="52"/>
        <v>35.59375</v>
      </c>
      <c r="X56" s="81">
        <f>K56*M56/144</f>
        <v>4.44921875</v>
      </c>
      <c r="Y56" s="50">
        <f t="shared" si="53"/>
        <v>35.59375</v>
      </c>
      <c r="Z56" s="50">
        <f t="shared" si="54"/>
        <v>0.41334594750000003</v>
      </c>
      <c r="AA56" s="50">
        <f t="shared" si="55"/>
        <v>3.3067675800000003</v>
      </c>
      <c r="AB56" s="64">
        <v>3.71</v>
      </c>
      <c r="AC56" s="64"/>
      <c r="AD56" s="64"/>
      <c r="AE56" s="64"/>
      <c r="AF56" s="64"/>
      <c r="AG56" s="64">
        <f>K56*M56/144*AB56+(SUM(AC56:AE56))</f>
        <v>16.506601562499998</v>
      </c>
      <c r="AH56" s="42">
        <f t="shared" si="0"/>
        <v>132.05281249999999</v>
      </c>
    </row>
    <row r="57" spans="1:34" ht="22.5" customHeight="1">
      <c r="A57" s="89">
        <f>IF(B57&lt;&gt;"",COUNTA($B$16:B57),"")</f>
        <v>32</v>
      </c>
      <c r="B57" s="105" t="s">
        <v>75</v>
      </c>
      <c r="C57" s="33" t="s">
        <v>65</v>
      </c>
      <c r="D57" s="98">
        <v>29</v>
      </c>
      <c r="E57" s="98"/>
      <c r="F57" s="33" t="s">
        <v>54</v>
      </c>
      <c r="G57" s="33" t="s">
        <v>116</v>
      </c>
      <c r="H57" s="79" t="s">
        <v>45</v>
      </c>
      <c r="I57" s="79" t="s">
        <v>47</v>
      </c>
      <c r="J57" s="39" t="s">
        <v>46</v>
      </c>
      <c r="K57" s="34">
        <v>21</v>
      </c>
      <c r="L57" s="38" t="str">
        <f t="shared" si="50"/>
        <v>X</v>
      </c>
      <c r="M57" s="35">
        <v>25.5</v>
      </c>
      <c r="N57" s="35" t="str">
        <f t="shared" si="51"/>
        <v>X</v>
      </c>
      <c r="O57" s="36">
        <v>1.25</v>
      </c>
      <c r="P57" s="186">
        <f t="shared" si="57"/>
        <v>2</v>
      </c>
      <c r="Q57" s="172">
        <f t="shared" si="57"/>
        <v>2</v>
      </c>
      <c r="R57" s="172">
        <f t="shared" si="57"/>
        <v>2</v>
      </c>
      <c r="S57" s="172">
        <f t="shared" si="57"/>
        <v>1</v>
      </c>
      <c r="T57" s="172">
        <f t="shared" si="56"/>
        <v>1</v>
      </c>
      <c r="U57" s="71">
        <f>SUM(P57:T57)</f>
        <v>8</v>
      </c>
      <c r="V57" s="50">
        <f>K57*M57/144</f>
        <v>3.71875</v>
      </c>
      <c r="W57" s="50">
        <f t="shared" si="52"/>
        <v>29.75</v>
      </c>
      <c r="X57" s="81">
        <f>K57*M57/144</f>
        <v>3.71875</v>
      </c>
      <c r="Y57" s="50">
        <f t="shared" si="53"/>
        <v>29.75</v>
      </c>
      <c r="Z57" s="50">
        <f t="shared" si="54"/>
        <v>0.34548318</v>
      </c>
      <c r="AA57" s="50">
        <f t="shared" si="55"/>
        <v>2.76386544</v>
      </c>
      <c r="AB57" s="64">
        <v>3.71</v>
      </c>
      <c r="AC57" s="64"/>
      <c r="AD57" s="64"/>
      <c r="AE57" s="64"/>
      <c r="AF57" s="64"/>
      <c r="AG57" s="64">
        <f>K57*M57/144*AB57+(SUM(AC57:AE57))</f>
        <v>13.7965625</v>
      </c>
      <c r="AH57" s="42">
        <f t="shared" si="0"/>
        <v>110.3725</v>
      </c>
    </row>
    <row r="58" spans="1:34" ht="22.5" customHeight="1">
      <c r="A58" s="88" t="str">
        <f>IF(B58&lt;&gt;"",COUNTA($B$16:B58),"")</f>
        <v/>
      </c>
      <c r="B58" s="104"/>
      <c r="C58" s="33"/>
      <c r="D58" s="99"/>
      <c r="E58" s="98"/>
      <c r="F58" s="78"/>
      <c r="G58" s="33"/>
      <c r="H58" s="37"/>
      <c r="I58" s="37"/>
      <c r="J58" s="33"/>
      <c r="K58" s="38"/>
      <c r="L58" s="80"/>
      <c r="M58" s="38"/>
      <c r="N58" s="35"/>
      <c r="O58" s="36"/>
      <c r="P58" s="186"/>
      <c r="Q58" s="172"/>
      <c r="R58" s="172"/>
      <c r="S58" s="172"/>
      <c r="T58" s="172"/>
      <c r="U58" s="71"/>
      <c r="V58" s="50"/>
      <c r="W58" s="50"/>
      <c r="X58" s="81"/>
      <c r="Y58" s="50"/>
      <c r="Z58" s="50"/>
      <c r="AA58" s="50"/>
      <c r="AB58" s="64"/>
      <c r="AC58" s="64"/>
      <c r="AD58" s="64"/>
      <c r="AE58" s="64"/>
      <c r="AF58" s="64"/>
      <c r="AG58" s="64"/>
      <c r="AH58" s="42" t="str">
        <f t="shared" si="0"/>
        <v/>
      </c>
    </row>
    <row r="59" spans="1:34" ht="22.5" customHeight="1">
      <c r="A59" s="89">
        <f>IF(B59&lt;&gt;"",COUNTA($B$16:B59),"")</f>
        <v>33</v>
      </c>
      <c r="B59" s="105" t="s">
        <v>76</v>
      </c>
      <c r="C59" s="33" t="s">
        <v>65</v>
      </c>
      <c r="D59" s="98">
        <v>44</v>
      </c>
      <c r="E59" s="98"/>
      <c r="F59" s="33" t="s">
        <v>54</v>
      </c>
      <c r="G59" s="33" t="s">
        <v>116</v>
      </c>
      <c r="H59" s="79" t="s">
        <v>58</v>
      </c>
      <c r="I59" s="79" t="s">
        <v>47</v>
      </c>
      <c r="J59" s="39" t="s">
        <v>46</v>
      </c>
      <c r="K59" s="34">
        <v>102.875</v>
      </c>
      <c r="L59" s="35" t="str">
        <f t="shared" ref="L59:L62" si="58">IF(K59&lt;&gt;"","X","")</f>
        <v>X</v>
      </c>
      <c r="M59" s="35">
        <v>43.625</v>
      </c>
      <c r="N59" s="35" t="str">
        <f t="shared" ref="N59:N62" si="59">IF(M59&lt;&gt;"","X","")</f>
        <v>X</v>
      </c>
      <c r="O59" s="36">
        <v>1.25</v>
      </c>
      <c r="P59" s="186">
        <v>1</v>
      </c>
      <c r="Q59" s="172">
        <v>1</v>
      </c>
      <c r="R59" s="172">
        <v>1</v>
      </c>
      <c r="S59" s="172"/>
      <c r="T59" s="172"/>
      <c r="U59" s="71">
        <f>SUM(P59:T59)</f>
        <v>3</v>
      </c>
      <c r="V59" s="50">
        <f>K59*M59/144</f>
        <v>31.166124131944443</v>
      </c>
      <c r="W59" s="50">
        <f t="shared" ref="W59:W62" si="60">V59*U59</f>
        <v>93.498372395833329</v>
      </c>
      <c r="X59" s="109">
        <v>31.15</v>
      </c>
      <c r="Y59" s="50">
        <f t="shared" ref="Y59:Y62" si="61">X59*U59</f>
        <v>93.449999999999989</v>
      </c>
      <c r="Z59" s="50">
        <f t="shared" ref="Z59:Z62" si="62">V59*0.09290304</f>
        <v>2.8954276768750002</v>
      </c>
      <c r="AA59" s="50">
        <f t="shared" ref="AA59:AA62" si="63">Z59*U59</f>
        <v>8.6862830306250007</v>
      </c>
      <c r="AB59" s="64">
        <v>4.01</v>
      </c>
      <c r="AC59" s="64"/>
      <c r="AD59" s="64"/>
      <c r="AE59" s="64"/>
      <c r="AF59" s="77">
        <f>SUM(AG59:AG62)</f>
        <v>171.62167860243056</v>
      </c>
      <c r="AG59" s="64">
        <f>K59*M59/144*AB59+(SUM(AC59:AE59))</f>
        <v>124.97615776909721</v>
      </c>
      <c r="AH59" s="42">
        <f t="shared" si="0"/>
        <v>374.92847330729165</v>
      </c>
    </row>
    <row r="60" spans="1:34" ht="22.5" customHeight="1">
      <c r="A60" s="89">
        <f>IF(B60&lt;&gt;"",COUNTA($B$16:B60),"")</f>
        <v>34</v>
      </c>
      <c r="B60" s="105" t="s">
        <v>76</v>
      </c>
      <c r="C60" s="33" t="s">
        <v>65</v>
      </c>
      <c r="D60" s="98">
        <v>44</v>
      </c>
      <c r="E60" s="98"/>
      <c r="F60" s="33" t="s">
        <v>54</v>
      </c>
      <c r="G60" s="33" t="s">
        <v>116</v>
      </c>
      <c r="H60" s="79" t="s">
        <v>58</v>
      </c>
      <c r="I60" s="79" t="s">
        <v>47</v>
      </c>
      <c r="J60" s="39" t="s">
        <v>46</v>
      </c>
      <c r="K60" s="34">
        <v>13.875</v>
      </c>
      <c r="L60" s="38" t="str">
        <f t="shared" si="58"/>
        <v>X</v>
      </c>
      <c r="M60" s="35">
        <v>25.5</v>
      </c>
      <c r="N60" s="35" t="str">
        <f t="shared" si="59"/>
        <v>X</v>
      </c>
      <c r="O60" s="36">
        <v>1.25</v>
      </c>
      <c r="P60" s="186">
        <f>P59</f>
        <v>1</v>
      </c>
      <c r="Q60" s="172">
        <f>Q59</f>
        <v>1</v>
      </c>
      <c r="R60" s="172">
        <f>R59</f>
        <v>1</v>
      </c>
      <c r="S60" s="172"/>
      <c r="T60" s="172"/>
      <c r="U60" s="71">
        <f>SUM(P60:T60)</f>
        <v>3</v>
      </c>
      <c r="V60" s="50">
        <f>K60*M60/144</f>
        <v>2.45703125</v>
      </c>
      <c r="W60" s="50">
        <f t="shared" si="60"/>
        <v>7.37109375</v>
      </c>
      <c r="X60" s="81">
        <f>K60*M60/144</f>
        <v>2.45703125</v>
      </c>
      <c r="Y60" s="50">
        <f t="shared" si="61"/>
        <v>7.37109375</v>
      </c>
      <c r="Z60" s="50">
        <f t="shared" si="62"/>
        <v>0.22826567250000002</v>
      </c>
      <c r="AA60" s="50">
        <f t="shared" si="63"/>
        <v>0.68479701749999999</v>
      </c>
      <c r="AB60" s="64">
        <v>3.71</v>
      </c>
      <c r="AC60" s="64"/>
      <c r="AD60" s="64"/>
      <c r="AE60" s="64"/>
      <c r="AF60" s="64"/>
      <c r="AG60" s="64">
        <f>K60*M60/144*AB60+(SUM(AC60:AE60))</f>
        <v>9.1155859375000006</v>
      </c>
      <c r="AH60" s="42">
        <f t="shared" si="0"/>
        <v>27.346757812500002</v>
      </c>
    </row>
    <row r="61" spans="1:34" ht="22.5" customHeight="1">
      <c r="A61" s="89">
        <f>IF(B61&lt;&gt;"",COUNTA($B$16:B61),"")</f>
        <v>35</v>
      </c>
      <c r="B61" s="105" t="s">
        <v>76</v>
      </c>
      <c r="C61" s="33" t="s">
        <v>65</v>
      </c>
      <c r="D61" s="98">
        <v>44</v>
      </c>
      <c r="E61" s="98"/>
      <c r="F61" s="33" t="s">
        <v>54</v>
      </c>
      <c r="G61" s="33" t="s">
        <v>116</v>
      </c>
      <c r="H61" s="79" t="s">
        <v>45</v>
      </c>
      <c r="I61" s="79" t="s">
        <v>47</v>
      </c>
      <c r="J61" s="39" t="s">
        <v>46</v>
      </c>
      <c r="K61" s="34">
        <v>39.25</v>
      </c>
      <c r="L61" s="38" t="str">
        <f t="shared" si="58"/>
        <v>X</v>
      </c>
      <c r="M61" s="35">
        <v>25.5</v>
      </c>
      <c r="N61" s="35" t="str">
        <f t="shared" si="59"/>
        <v>X</v>
      </c>
      <c r="O61" s="36">
        <v>1.25</v>
      </c>
      <c r="P61" s="186">
        <f t="shared" ref="P61:R62" si="64">P60</f>
        <v>1</v>
      </c>
      <c r="Q61" s="172">
        <f t="shared" si="64"/>
        <v>1</v>
      </c>
      <c r="R61" s="172">
        <f t="shared" si="64"/>
        <v>1</v>
      </c>
      <c r="S61" s="172"/>
      <c r="T61" s="172"/>
      <c r="U61" s="71">
        <f>SUM(P61:T61)</f>
        <v>3</v>
      </c>
      <c r="V61" s="50">
        <f>K61*M61/144</f>
        <v>6.950520833333333</v>
      </c>
      <c r="W61" s="50">
        <f t="shared" si="60"/>
        <v>20.8515625</v>
      </c>
      <c r="X61" s="81">
        <f>K61*M61/144</f>
        <v>6.950520833333333</v>
      </c>
      <c r="Y61" s="50">
        <f t="shared" si="61"/>
        <v>20.8515625</v>
      </c>
      <c r="Z61" s="50">
        <f t="shared" si="62"/>
        <v>0.64572451500000005</v>
      </c>
      <c r="AA61" s="50">
        <f t="shared" si="63"/>
        <v>1.9371735450000003</v>
      </c>
      <c r="AB61" s="64">
        <v>3.71</v>
      </c>
      <c r="AC61" s="64"/>
      <c r="AD61" s="64"/>
      <c r="AE61" s="64"/>
      <c r="AF61" s="64"/>
      <c r="AG61" s="64">
        <f>K61*M61/144*AB61+(SUM(AC61:AE61))</f>
        <v>25.786432291666664</v>
      </c>
      <c r="AH61" s="42">
        <f t="shared" si="0"/>
        <v>77.359296874999984</v>
      </c>
    </row>
    <row r="62" spans="1:34" ht="22.5" customHeight="1">
      <c r="A62" s="89">
        <f>IF(B62&lt;&gt;"",COUNTA($B$16:B62),"")</f>
        <v>36</v>
      </c>
      <c r="B62" s="105" t="s">
        <v>76</v>
      </c>
      <c r="C62" s="33" t="s">
        <v>65</v>
      </c>
      <c r="D62" s="98">
        <v>44</v>
      </c>
      <c r="E62" s="98"/>
      <c r="F62" s="33" t="s">
        <v>54</v>
      </c>
      <c r="G62" s="33" t="s">
        <v>116</v>
      </c>
      <c r="H62" s="79" t="s">
        <v>45</v>
      </c>
      <c r="I62" s="79" t="s">
        <v>47</v>
      </c>
      <c r="J62" s="39" t="s">
        <v>46</v>
      </c>
      <c r="K62" s="34">
        <v>17.875</v>
      </c>
      <c r="L62" s="38" t="str">
        <f t="shared" si="58"/>
        <v>X</v>
      </c>
      <c r="M62" s="35">
        <v>25.5</v>
      </c>
      <c r="N62" s="35" t="str">
        <f t="shared" si="59"/>
        <v>X</v>
      </c>
      <c r="O62" s="36">
        <v>1.25</v>
      </c>
      <c r="P62" s="186">
        <f t="shared" si="64"/>
        <v>1</v>
      </c>
      <c r="Q62" s="172">
        <f t="shared" si="64"/>
        <v>1</v>
      </c>
      <c r="R62" s="172">
        <f t="shared" si="64"/>
        <v>1</v>
      </c>
      <c r="S62" s="172"/>
      <c r="T62" s="172"/>
      <c r="U62" s="71">
        <f>SUM(P62:T62)</f>
        <v>3</v>
      </c>
      <c r="V62" s="50">
        <f>K62*M62/144</f>
        <v>3.1653645833333335</v>
      </c>
      <c r="W62" s="50">
        <f t="shared" si="60"/>
        <v>9.49609375</v>
      </c>
      <c r="X62" s="81">
        <f>K62*M62/144</f>
        <v>3.1653645833333335</v>
      </c>
      <c r="Y62" s="50">
        <f t="shared" si="61"/>
        <v>9.49609375</v>
      </c>
      <c r="Z62" s="50">
        <f t="shared" si="62"/>
        <v>0.29407199250000005</v>
      </c>
      <c r="AA62" s="50">
        <f t="shared" si="63"/>
        <v>0.88221597750000014</v>
      </c>
      <c r="AB62" s="64">
        <v>3.71</v>
      </c>
      <c r="AC62" s="64"/>
      <c r="AD62" s="64"/>
      <c r="AE62" s="64"/>
      <c r="AF62" s="64"/>
      <c r="AG62" s="64">
        <f>K62*M62/144*AB62+(SUM(AC62:AE62))</f>
        <v>11.743502604166666</v>
      </c>
      <c r="AH62" s="42">
        <f t="shared" si="0"/>
        <v>35.230507812500001</v>
      </c>
    </row>
    <row r="63" spans="1:34" ht="22.5" customHeight="1">
      <c r="A63" s="88" t="str">
        <f>IF(B63&lt;&gt;"",COUNTA($B$16:B63),"")</f>
        <v/>
      </c>
      <c r="B63" s="33"/>
      <c r="C63" s="33"/>
      <c r="D63" s="100" t="s">
        <v>62</v>
      </c>
      <c r="E63" s="98"/>
      <c r="F63" s="78"/>
      <c r="G63" s="33"/>
      <c r="H63" s="37"/>
      <c r="I63" s="37"/>
      <c r="J63" s="33"/>
      <c r="K63" s="38"/>
      <c r="L63" s="35"/>
      <c r="M63" s="38"/>
      <c r="N63" s="35"/>
      <c r="O63" s="36"/>
      <c r="P63" s="186"/>
      <c r="Q63" s="172"/>
      <c r="R63" s="172"/>
      <c r="S63" s="172"/>
      <c r="T63" s="172"/>
      <c r="U63" s="71"/>
      <c r="V63" s="50"/>
      <c r="W63" s="50"/>
      <c r="X63" s="50"/>
      <c r="Y63" s="50"/>
      <c r="Z63" s="50"/>
      <c r="AA63" s="50"/>
      <c r="AB63" s="64"/>
      <c r="AC63" s="64"/>
      <c r="AD63" s="64"/>
      <c r="AE63" s="64"/>
      <c r="AF63" s="64"/>
      <c r="AG63" s="64"/>
      <c r="AH63" s="42" t="str">
        <f t="shared" si="0"/>
        <v/>
      </c>
    </row>
    <row r="64" spans="1:34" ht="22.5" customHeight="1">
      <c r="A64" s="89">
        <f>IF(B64&lt;&gt;"",COUNTA($B$16:B64),"")</f>
        <v>37</v>
      </c>
      <c r="B64" s="73" t="s">
        <v>53</v>
      </c>
      <c r="C64" s="33"/>
      <c r="D64" s="98">
        <v>50</v>
      </c>
      <c r="E64" s="98"/>
      <c r="F64" s="33" t="s">
        <v>54</v>
      </c>
      <c r="G64" s="33" t="s">
        <v>116</v>
      </c>
      <c r="H64" s="79" t="s">
        <v>45</v>
      </c>
      <c r="I64" s="79" t="s">
        <v>47</v>
      </c>
      <c r="J64" s="39" t="s">
        <v>46</v>
      </c>
      <c r="K64" s="34">
        <v>109.375</v>
      </c>
      <c r="L64" s="35" t="str">
        <f>IF(K64&lt;&gt;"","X","")</f>
        <v>X</v>
      </c>
      <c r="M64" s="110">
        <v>43.625</v>
      </c>
      <c r="N64" s="35" t="str">
        <f>IF(M64&lt;&gt;"","X","")</f>
        <v>X</v>
      </c>
      <c r="O64" s="36">
        <v>1.25</v>
      </c>
      <c r="P64" s="186"/>
      <c r="Q64" s="172"/>
      <c r="R64" s="172"/>
      <c r="S64" s="172"/>
      <c r="T64" s="172"/>
      <c r="U64" s="113">
        <v>16</v>
      </c>
      <c r="V64" s="50">
        <f>K64*M64/144</f>
        <v>33.135308159722221</v>
      </c>
      <c r="W64" s="50">
        <f>V64*U64</f>
        <v>530.16493055555554</v>
      </c>
      <c r="X64" s="50">
        <f>K64*M64/144</f>
        <v>33.135308159722221</v>
      </c>
      <c r="Y64" s="50">
        <f>X64*U64</f>
        <v>530.16493055555554</v>
      </c>
      <c r="Z64" s="50">
        <f t="shared" ref="Z64" si="65">V64*0.09290304</f>
        <v>3.0783708593750001</v>
      </c>
      <c r="AA64" s="50">
        <f t="shared" ref="AA64" si="66">Z64*U64</f>
        <v>49.253933750000002</v>
      </c>
      <c r="AB64" s="64">
        <v>4.01</v>
      </c>
      <c r="AC64" s="64"/>
      <c r="AD64" s="64"/>
      <c r="AE64" s="64"/>
      <c r="AF64" s="77">
        <f>SUM(AG64:AG64)</f>
        <v>132.87258572048611</v>
      </c>
      <c r="AG64" s="64">
        <f>K64*M64/144*AB64+(SUM(AC64:AE64))</f>
        <v>132.87258572048611</v>
      </c>
      <c r="AH64" s="42">
        <f t="shared" si="0"/>
        <v>2125.9613715277778</v>
      </c>
    </row>
    <row r="65" spans="1:34" ht="22.5" customHeight="1">
      <c r="A65" s="88" t="str">
        <f>IF(B65&lt;&gt;"",COUNTA($B$16:B65),"")</f>
        <v/>
      </c>
      <c r="B65" s="33"/>
      <c r="C65" s="33"/>
      <c r="D65" s="99"/>
      <c r="E65" s="98"/>
      <c r="F65" s="78"/>
      <c r="G65" s="33"/>
      <c r="H65" s="37"/>
      <c r="I65" s="37"/>
      <c r="J65" s="33"/>
      <c r="K65" s="38"/>
      <c r="L65" s="35"/>
      <c r="M65" s="38"/>
      <c r="N65" s="35"/>
      <c r="O65" s="36"/>
      <c r="P65" s="186"/>
      <c r="Q65" s="172"/>
      <c r="R65" s="172"/>
      <c r="S65" s="172"/>
      <c r="T65" s="172"/>
      <c r="U65" s="71"/>
      <c r="V65" s="50"/>
      <c r="W65" s="50"/>
      <c r="X65" s="50"/>
      <c r="Y65" s="50"/>
      <c r="Z65" s="50"/>
      <c r="AA65" s="50"/>
      <c r="AB65" s="64"/>
      <c r="AC65" s="64"/>
      <c r="AD65" s="64"/>
      <c r="AE65" s="64"/>
      <c r="AF65" s="64"/>
      <c r="AG65" s="64"/>
      <c r="AH65" s="42" t="str">
        <f t="shared" si="0"/>
        <v/>
      </c>
    </row>
    <row r="66" spans="1:34" ht="22.5" customHeight="1">
      <c r="A66" s="89">
        <f>IF(B66&lt;&gt;"",COUNTA($B$16:B66),"")</f>
        <v>38</v>
      </c>
      <c r="B66" s="73" t="s">
        <v>53</v>
      </c>
      <c r="C66" s="33"/>
      <c r="D66" s="98">
        <v>50</v>
      </c>
      <c r="E66" s="98"/>
      <c r="F66" s="33" t="s">
        <v>54</v>
      </c>
      <c r="G66" s="33" t="s">
        <v>116</v>
      </c>
      <c r="H66" s="79" t="s">
        <v>45</v>
      </c>
      <c r="I66" s="79" t="s">
        <v>47</v>
      </c>
      <c r="J66" s="39" t="s">
        <v>46</v>
      </c>
      <c r="K66" s="111">
        <v>92.25</v>
      </c>
      <c r="L66" s="108" t="str">
        <f>IF(K66&lt;&gt;"","X","")</f>
        <v>X</v>
      </c>
      <c r="M66" s="108">
        <v>25.5</v>
      </c>
      <c r="N66" s="108" t="str">
        <f>IF(M66&lt;&gt;"","X","")</f>
        <v>X</v>
      </c>
      <c r="O66" s="112">
        <v>1.25</v>
      </c>
      <c r="P66" s="186"/>
      <c r="Q66" s="172"/>
      <c r="R66" s="172"/>
      <c r="S66" s="172"/>
      <c r="T66" s="172"/>
      <c r="U66" s="71">
        <v>18</v>
      </c>
      <c r="V66" s="50">
        <f>K66*M66/144</f>
        <v>16.3359375</v>
      </c>
      <c r="W66" s="50">
        <f>V66*U66</f>
        <v>294.046875</v>
      </c>
      <c r="X66" s="50">
        <f>K66*M66/144</f>
        <v>16.3359375</v>
      </c>
      <c r="Y66" s="50">
        <f>X66*U66</f>
        <v>294.046875</v>
      </c>
      <c r="Z66" s="50">
        <f t="shared" ref="Z66" si="67">V66*0.09290304</f>
        <v>1.5176582550000002</v>
      </c>
      <c r="AA66" s="50">
        <f t="shared" ref="AA66" si="68">Z66*U66</f>
        <v>27.317848590000004</v>
      </c>
      <c r="AB66" s="64">
        <v>3.71</v>
      </c>
      <c r="AC66" s="64"/>
      <c r="AD66" s="64"/>
      <c r="AE66" s="64"/>
      <c r="AF66" s="77">
        <f>SUM(AG66:AG66)</f>
        <v>60.606328124999997</v>
      </c>
      <c r="AG66" s="64">
        <f>K66*M66/144*AB66+(SUM(AC66:AE66))</f>
        <v>60.606328124999997</v>
      </c>
      <c r="AH66" s="42">
        <f t="shared" si="0"/>
        <v>1090.9139062499999</v>
      </c>
    </row>
    <row r="67" spans="1:34" ht="22.5" customHeight="1">
      <c r="A67" s="88" t="str">
        <f>IF(B67&lt;&gt;"",COUNTA($B$16:B67),"")</f>
        <v/>
      </c>
      <c r="B67" s="104"/>
      <c r="C67" s="33"/>
      <c r="D67" s="97" t="s">
        <v>59</v>
      </c>
      <c r="E67" s="99"/>
      <c r="F67" s="78"/>
      <c r="G67" s="33"/>
      <c r="H67" s="37"/>
      <c r="I67" s="37"/>
      <c r="J67" s="33"/>
      <c r="K67" s="38"/>
      <c r="L67" s="80"/>
      <c r="M67" s="38"/>
      <c r="N67" s="35"/>
      <c r="O67" s="36"/>
      <c r="P67" s="186"/>
      <c r="Q67" s="172"/>
      <c r="R67" s="172"/>
      <c r="S67" s="172"/>
      <c r="T67" s="172"/>
      <c r="U67" s="71"/>
      <c r="V67" s="50"/>
      <c r="W67" s="50"/>
      <c r="X67" s="50"/>
      <c r="Y67" s="50"/>
      <c r="Z67" s="50"/>
      <c r="AA67" s="50"/>
      <c r="AB67" s="64"/>
      <c r="AC67" s="64"/>
      <c r="AD67" s="64"/>
      <c r="AE67" s="64"/>
      <c r="AF67" s="64"/>
      <c r="AG67" s="64"/>
      <c r="AH67" s="42" t="str">
        <f t="shared" si="0"/>
        <v/>
      </c>
    </row>
    <row r="68" spans="1:34" ht="22.5" customHeight="1">
      <c r="A68" s="89">
        <f>IF(B68&lt;&gt;"",COUNTA($B$16:B68),"")</f>
        <v>39</v>
      </c>
      <c r="B68" s="105" t="s">
        <v>70</v>
      </c>
      <c r="C68" s="33" t="s">
        <v>43</v>
      </c>
      <c r="D68" s="98">
        <v>2</v>
      </c>
      <c r="E68" s="98"/>
      <c r="F68" s="33" t="s">
        <v>54</v>
      </c>
      <c r="G68" s="33" t="s">
        <v>116</v>
      </c>
      <c r="H68" s="79" t="s">
        <v>61</v>
      </c>
      <c r="I68" s="79" t="s">
        <v>60</v>
      </c>
      <c r="J68" s="39" t="s">
        <v>46</v>
      </c>
      <c r="K68" s="34">
        <v>49.5</v>
      </c>
      <c r="L68" s="35" t="str">
        <f t="shared" ref="L68:L70" si="69">IF(K68&lt;&gt;"","X","")</f>
        <v>X</v>
      </c>
      <c r="M68" s="35">
        <v>22.5</v>
      </c>
      <c r="N68" s="35" t="str">
        <f t="shared" ref="N68:N70" si="70">IF(M68&lt;&gt;"","X","")</f>
        <v>X</v>
      </c>
      <c r="O68" s="36">
        <v>0.75</v>
      </c>
      <c r="P68" s="186">
        <v>2</v>
      </c>
      <c r="Q68" s="172">
        <v>2</v>
      </c>
      <c r="R68" s="172">
        <v>2</v>
      </c>
      <c r="S68" s="172">
        <v>2</v>
      </c>
      <c r="T68" s="172"/>
      <c r="U68" s="71">
        <f>SUM(P68:T68)</f>
        <v>8</v>
      </c>
      <c r="V68" s="50">
        <f>K68*M68/144</f>
        <v>7.734375</v>
      </c>
      <c r="W68" s="50">
        <f t="shared" ref="W68:W70" si="71">V68*U68</f>
        <v>61.875</v>
      </c>
      <c r="X68" s="81">
        <f>K68*M68/144</f>
        <v>7.734375</v>
      </c>
      <c r="Y68" s="50">
        <f t="shared" ref="Y68:Y70" si="72">X68*U68</f>
        <v>61.875</v>
      </c>
      <c r="Z68" s="50">
        <f t="shared" ref="Z68:Z70" si="73">V68*0.09290304</f>
        <v>0.71854695000000002</v>
      </c>
      <c r="AA68" s="50">
        <f t="shared" ref="AA68:AA70" si="74">Z68*U68</f>
        <v>5.7483756000000001</v>
      </c>
      <c r="AB68" s="64">
        <v>3.13</v>
      </c>
      <c r="AC68" s="64"/>
      <c r="AD68" s="64">
        <v>1</v>
      </c>
      <c r="AE68" s="64"/>
      <c r="AF68" s="77">
        <f>SUM(AG68:AG70)</f>
        <v>29.854687499999997</v>
      </c>
      <c r="AG68" s="64">
        <f>K68*M68/144*AB68+(SUM(AC68:AE68))</f>
        <v>25.208593749999999</v>
      </c>
      <c r="AH68" s="42">
        <f t="shared" si="0"/>
        <v>201.66874999999999</v>
      </c>
    </row>
    <row r="69" spans="1:34" ht="22.5" customHeight="1">
      <c r="A69" s="89">
        <f>IF(B69&lt;&gt;"",COUNTA($B$16:B69),"")</f>
        <v>40</v>
      </c>
      <c r="B69" s="105" t="s">
        <v>70</v>
      </c>
      <c r="C69" s="33" t="s">
        <v>43</v>
      </c>
      <c r="D69" s="98">
        <v>2</v>
      </c>
      <c r="E69" s="98"/>
      <c r="F69" s="33" t="s">
        <v>54</v>
      </c>
      <c r="G69" s="33" t="s">
        <v>116</v>
      </c>
      <c r="H69" s="79" t="s">
        <v>55</v>
      </c>
      <c r="I69" s="79" t="s">
        <v>60</v>
      </c>
      <c r="J69" s="39" t="s">
        <v>46</v>
      </c>
      <c r="K69" s="34">
        <f>K68</f>
        <v>49.5</v>
      </c>
      <c r="L69" s="38" t="str">
        <f t="shared" si="69"/>
        <v>X</v>
      </c>
      <c r="M69" s="35">
        <v>3</v>
      </c>
      <c r="N69" s="35" t="str">
        <f t="shared" si="70"/>
        <v>X</v>
      </c>
      <c r="O69" s="36">
        <v>0.75</v>
      </c>
      <c r="P69" s="186">
        <f t="shared" ref="P69:S70" si="75">P68</f>
        <v>2</v>
      </c>
      <c r="Q69" s="172">
        <f t="shared" si="75"/>
        <v>2</v>
      </c>
      <c r="R69" s="172">
        <f t="shared" si="75"/>
        <v>2</v>
      </c>
      <c r="S69" s="172">
        <f t="shared" si="75"/>
        <v>2</v>
      </c>
      <c r="T69" s="172"/>
      <c r="U69" s="71">
        <f>SUM(P69:T69)</f>
        <v>8</v>
      </c>
      <c r="V69" s="50">
        <f>K69*M69/144</f>
        <v>1.03125</v>
      </c>
      <c r="W69" s="50">
        <f t="shared" si="71"/>
        <v>8.25</v>
      </c>
      <c r="X69" s="81">
        <f>K69*M69/144</f>
        <v>1.03125</v>
      </c>
      <c r="Y69" s="50">
        <f t="shared" si="72"/>
        <v>8.25</v>
      </c>
      <c r="Z69" s="50">
        <f t="shared" si="73"/>
        <v>9.5806260000000004E-2</v>
      </c>
      <c r="AA69" s="50">
        <f t="shared" si="74"/>
        <v>0.76645008000000003</v>
      </c>
      <c r="AB69" s="64">
        <v>3.13</v>
      </c>
      <c r="AC69" s="64"/>
      <c r="AD69" s="64"/>
      <c r="AE69" s="64"/>
      <c r="AF69" s="64"/>
      <c r="AG69" s="64">
        <f>K69*M69/144*AB69+(SUM(AC69:AE69))</f>
        <v>3.2278124999999998</v>
      </c>
      <c r="AH69" s="42">
        <f t="shared" si="0"/>
        <v>25.822499999999998</v>
      </c>
    </row>
    <row r="70" spans="1:34" ht="22.5" customHeight="1">
      <c r="A70" s="89">
        <f>IF(B70&lt;&gt;"",COUNTA($B$16:B70),"")</f>
        <v>41</v>
      </c>
      <c r="B70" s="105" t="s">
        <v>70</v>
      </c>
      <c r="C70" s="33" t="s">
        <v>43</v>
      </c>
      <c r="D70" s="98">
        <v>2</v>
      </c>
      <c r="E70" s="98"/>
      <c r="F70" s="33" t="s">
        <v>54</v>
      </c>
      <c r="G70" s="33" t="s">
        <v>116</v>
      </c>
      <c r="H70" s="79" t="s">
        <v>56</v>
      </c>
      <c r="I70" s="79" t="s">
        <v>60</v>
      </c>
      <c r="J70" s="39" t="s">
        <v>46</v>
      </c>
      <c r="K70" s="34">
        <f>M68-0.75</f>
        <v>21.75</v>
      </c>
      <c r="L70" s="38" t="str">
        <f t="shared" si="69"/>
        <v>X</v>
      </c>
      <c r="M70" s="35">
        <v>3</v>
      </c>
      <c r="N70" s="35" t="str">
        <f t="shared" si="70"/>
        <v>X</v>
      </c>
      <c r="O70" s="36">
        <v>0.75</v>
      </c>
      <c r="P70" s="186">
        <f t="shared" si="75"/>
        <v>2</v>
      </c>
      <c r="Q70" s="172">
        <f t="shared" si="75"/>
        <v>2</v>
      </c>
      <c r="R70" s="172">
        <f t="shared" si="75"/>
        <v>2</v>
      </c>
      <c r="S70" s="172">
        <f t="shared" si="75"/>
        <v>2</v>
      </c>
      <c r="T70" s="172"/>
      <c r="U70" s="71">
        <f>SUM(P70:T70)</f>
        <v>8</v>
      </c>
      <c r="V70" s="50">
        <f>K70*M70/144</f>
        <v>0.453125</v>
      </c>
      <c r="W70" s="50">
        <f t="shared" si="71"/>
        <v>3.625</v>
      </c>
      <c r="X70" s="81">
        <f>K70*M70/144</f>
        <v>0.453125</v>
      </c>
      <c r="Y70" s="50">
        <f t="shared" si="72"/>
        <v>3.625</v>
      </c>
      <c r="Z70" s="50">
        <f t="shared" si="73"/>
        <v>4.2096690000000006E-2</v>
      </c>
      <c r="AA70" s="50">
        <f t="shared" si="74"/>
        <v>0.33677352000000005</v>
      </c>
      <c r="AB70" s="64">
        <v>3.13</v>
      </c>
      <c r="AC70" s="64"/>
      <c r="AD70" s="64"/>
      <c r="AE70" s="64"/>
      <c r="AF70" s="64"/>
      <c r="AG70" s="64">
        <f>K70*M70/144*AB70+(SUM(AC70:AE70))</f>
        <v>1.4182812499999999</v>
      </c>
      <c r="AH70" s="42">
        <f t="shared" si="0"/>
        <v>11.34625</v>
      </c>
    </row>
    <row r="71" spans="1:34" ht="22.5" customHeight="1">
      <c r="A71" s="88" t="str">
        <f>IF(B71&lt;&gt;"",COUNTA($B$16:B71),"")</f>
        <v/>
      </c>
      <c r="B71" s="104"/>
      <c r="C71" s="33"/>
      <c r="D71" s="99"/>
      <c r="E71" s="98"/>
      <c r="F71" s="78"/>
      <c r="G71" s="33"/>
      <c r="H71" s="37"/>
      <c r="I71" s="37"/>
      <c r="J71" s="33"/>
      <c r="K71" s="38"/>
      <c r="L71" s="35"/>
      <c r="M71" s="38"/>
      <c r="N71" s="35"/>
      <c r="O71" s="36"/>
      <c r="P71" s="186"/>
      <c r="Q71" s="172"/>
      <c r="R71" s="172"/>
      <c r="S71" s="172"/>
      <c r="T71" s="172"/>
      <c r="U71" s="71"/>
      <c r="V71" s="50"/>
      <c r="W71" s="50"/>
      <c r="X71" s="81"/>
      <c r="Y71" s="50"/>
      <c r="Z71" s="50"/>
      <c r="AA71" s="50"/>
      <c r="AB71" s="64"/>
      <c r="AC71" s="64"/>
      <c r="AD71" s="64"/>
      <c r="AE71" s="64"/>
      <c r="AF71" s="64"/>
      <c r="AG71" s="64"/>
      <c r="AH71" s="42" t="str">
        <f t="shared" si="0"/>
        <v/>
      </c>
    </row>
    <row r="72" spans="1:34" ht="22.5" customHeight="1">
      <c r="A72" s="89">
        <f>IF(B72&lt;&gt;"",COUNTA($B$16:B72),"")</f>
        <v>42</v>
      </c>
      <c r="B72" s="105" t="s">
        <v>70</v>
      </c>
      <c r="C72" s="33" t="s">
        <v>65</v>
      </c>
      <c r="D72" s="98">
        <v>4</v>
      </c>
      <c r="E72" s="98"/>
      <c r="F72" s="33" t="s">
        <v>54</v>
      </c>
      <c r="G72" s="33" t="s">
        <v>116</v>
      </c>
      <c r="H72" s="79" t="s">
        <v>61</v>
      </c>
      <c r="I72" s="79" t="s">
        <v>60</v>
      </c>
      <c r="J72" s="39" t="s">
        <v>46</v>
      </c>
      <c r="K72" s="34">
        <v>49.5</v>
      </c>
      <c r="L72" s="35" t="str">
        <f t="shared" ref="L72:L74" si="76">IF(K72&lt;&gt;"","X","")</f>
        <v>X</v>
      </c>
      <c r="M72" s="35">
        <v>22.5</v>
      </c>
      <c r="N72" s="35" t="str">
        <f t="shared" ref="N72:N74" si="77">IF(M72&lt;&gt;"","X","")</f>
        <v>X</v>
      </c>
      <c r="O72" s="36">
        <v>0.75</v>
      </c>
      <c r="P72" s="186">
        <v>3</v>
      </c>
      <c r="Q72" s="172">
        <v>2</v>
      </c>
      <c r="R72" s="172">
        <v>3</v>
      </c>
      <c r="S72" s="172">
        <v>2</v>
      </c>
      <c r="T72" s="172"/>
      <c r="U72" s="71">
        <f>SUM(P72:T72)</f>
        <v>10</v>
      </c>
      <c r="V72" s="50">
        <f>K72*M72/144</f>
        <v>7.734375</v>
      </c>
      <c r="W72" s="50">
        <f t="shared" ref="W72:W74" si="78">V72*U72</f>
        <v>77.34375</v>
      </c>
      <c r="X72" s="81">
        <f>K72*M72/144</f>
        <v>7.734375</v>
      </c>
      <c r="Y72" s="50">
        <f t="shared" ref="Y72:Y74" si="79">X72*U72</f>
        <v>77.34375</v>
      </c>
      <c r="Z72" s="50">
        <f t="shared" ref="Z72:Z74" si="80">V72*0.09290304</f>
        <v>0.71854695000000002</v>
      </c>
      <c r="AA72" s="50">
        <f t="shared" ref="AA72:AA74" si="81">Z72*U72</f>
        <v>7.1854695</v>
      </c>
      <c r="AB72" s="64">
        <v>3.13</v>
      </c>
      <c r="AC72" s="64"/>
      <c r="AD72" s="64">
        <v>1</v>
      </c>
      <c r="AE72" s="64"/>
      <c r="AF72" s="77">
        <f>SUM(AG72:AG74)</f>
        <v>29.854687499999997</v>
      </c>
      <c r="AG72" s="64">
        <f>K72*M72/144*AB72+(SUM(AC72:AE72))</f>
        <v>25.208593749999999</v>
      </c>
      <c r="AH72" s="42">
        <f t="shared" si="0"/>
        <v>252.0859375</v>
      </c>
    </row>
    <row r="73" spans="1:34" ht="22.5" customHeight="1">
      <c r="A73" s="89">
        <f>IF(B73&lt;&gt;"",COUNTA($B$16:B73),"")</f>
        <v>43</v>
      </c>
      <c r="B73" s="105" t="s">
        <v>70</v>
      </c>
      <c r="C73" s="33" t="s">
        <v>65</v>
      </c>
      <c r="D73" s="98">
        <v>4</v>
      </c>
      <c r="E73" s="98"/>
      <c r="F73" s="33" t="s">
        <v>54</v>
      </c>
      <c r="G73" s="33" t="s">
        <v>116</v>
      </c>
      <c r="H73" s="79" t="s">
        <v>55</v>
      </c>
      <c r="I73" s="79" t="s">
        <v>60</v>
      </c>
      <c r="J73" s="39" t="s">
        <v>46</v>
      </c>
      <c r="K73" s="34">
        <f>K72</f>
        <v>49.5</v>
      </c>
      <c r="L73" s="38" t="str">
        <f t="shared" si="76"/>
        <v>X</v>
      </c>
      <c r="M73" s="35">
        <v>3</v>
      </c>
      <c r="N73" s="35" t="str">
        <f t="shared" si="77"/>
        <v>X</v>
      </c>
      <c r="O73" s="36">
        <v>0.75</v>
      </c>
      <c r="P73" s="186">
        <f t="shared" ref="P73:S74" si="82">P72</f>
        <v>3</v>
      </c>
      <c r="Q73" s="172">
        <f t="shared" si="82"/>
        <v>2</v>
      </c>
      <c r="R73" s="172">
        <f t="shared" si="82"/>
        <v>3</v>
      </c>
      <c r="S73" s="172">
        <f t="shared" si="82"/>
        <v>2</v>
      </c>
      <c r="T73" s="172"/>
      <c r="U73" s="71">
        <f>SUM(P73:T73)</f>
        <v>10</v>
      </c>
      <c r="V73" s="50">
        <f>K73*M73/144</f>
        <v>1.03125</v>
      </c>
      <c r="W73" s="50">
        <f t="shared" si="78"/>
        <v>10.3125</v>
      </c>
      <c r="X73" s="81">
        <f>K73*M73/144</f>
        <v>1.03125</v>
      </c>
      <c r="Y73" s="50">
        <f t="shared" si="79"/>
        <v>10.3125</v>
      </c>
      <c r="Z73" s="50">
        <f t="shared" si="80"/>
        <v>9.5806260000000004E-2</v>
      </c>
      <c r="AA73" s="50">
        <f t="shared" si="81"/>
        <v>0.9580626000000001</v>
      </c>
      <c r="AB73" s="64">
        <v>3.13</v>
      </c>
      <c r="AC73" s="64"/>
      <c r="AD73" s="64"/>
      <c r="AE73" s="64"/>
      <c r="AF73" s="64"/>
      <c r="AG73" s="64">
        <f>K73*M73/144*AB73+(SUM(AC73:AE73))</f>
        <v>3.2278124999999998</v>
      </c>
      <c r="AH73" s="42">
        <f t="shared" si="0"/>
        <v>32.278124999999996</v>
      </c>
    </row>
    <row r="74" spans="1:34" ht="22.5" customHeight="1">
      <c r="A74" s="89">
        <f>IF(B74&lt;&gt;"",COUNTA($B$16:B74),"")</f>
        <v>44</v>
      </c>
      <c r="B74" s="105" t="s">
        <v>70</v>
      </c>
      <c r="C74" s="33" t="s">
        <v>65</v>
      </c>
      <c r="D74" s="98">
        <v>4</v>
      </c>
      <c r="E74" s="98"/>
      <c r="F74" s="33" t="s">
        <v>54</v>
      </c>
      <c r="G74" s="33" t="s">
        <v>116</v>
      </c>
      <c r="H74" s="79" t="s">
        <v>56</v>
      </c>
      <c r="I74" s="79" t="s">
        <v>60</v>
      </c>
      <c r="J74" s="39" t="s">
        <v>46</v>
      </c>
      <c r="K74" s="34">
        <f>M72-0.75</f>
        <v>21.75</v>
      </c>
      <c r="L74" s="38" t="str">
        <f t="shared" si="76"/>
        <v>X</v>
      </c>
      <c r="M74" s="35">
        <v>3</v>
      </c>
      <c r="N74" s="35" t="str">
        <f t="shared" si="77"/>
        <v>X</v>
      </c>
      <c r="O74" s="36">
        <v>0.75</v>
      </c>
      <c r="P74" s="186">
        <f t="shared" si="82"/>
        <v>3</v>
      </c>
      <c r="Q74" s="172">
        <f t="shared" si="82"/>
        <v>2</v>
      </c>
      <c r="R74" s="172">
        <f t="shared" si="82"/>
        <v>3</v>
      </c>
      <c r="S74" s="172">
        <f t="shared" si="82"/>
        <v>2</v>
      </c>
      <c r="T74" s="172"/>
      <c r="U74" s="71">
        <f>SUM(P74:T74)</f>
        <v>10</v>
      </c>
      <c r="V74" s="50">
        <f>K74*M74/144</f>
        <v>0.453125</v>
      </c>
      <c r="W74" s="50">
        <f t="shared" si="78"/>
        <v>4.53125</v>
      </c>
      <c r="X74" s="81">
        <f>K74*M74/144</f>
        <v>0.453125</v>
      </c>
      <c r="Y74" s="50">
        <f t="shared" si="79"/>
        <v>4.53125</v>
      </c>
      <c r="Z74" s="50">
        <f t="shared" si="80"/>
        <v>4.2096690000000006E-2</v>
      </c>
      <c r="AA74" s="50">
        <f t="shared" si="81"/>
        <v>0.42096690000000003</v>
      </c>
      <c r="AB74" s="64">
        <v>3.13</v>
      </c>
      <c r="AC74" s="64"/>
      <c r="AD74" s="64"/>
      <c r="AE74" s="64"/>
      <c r="AF74" s="64"/>
      <c r="AG74" s="64">
        <f>K74*M74/144*AB74+(SUM(AC74:AE74))</f>
        <v>1.4182812499999999</v>
      </c>
      <c r="AH74" s="42">
        <f t="shared" si="0"/>
        <v>14.182812499999999</v>
      </c>
    </row>
    <row r="75" spans="1:34" ht="22.5" customHeight="1">
      <c r="A75" s="88" t="str">
        <f>IF(B75&lt;&gt;"",COUNTA($B$16:B75),"")</f>
        <v/>
      </c>
      <c r="B75" s="104"/>
      <c r="C75" s="33"/>
      <c r="D75" s="99"/>
      <c r="E75" s="98"/>
      <c r="F75" s="78"/>
      <c r="G75" s="33"/>
      <c r="H75" s="37"/>
      <c r="I75" s="37"/>
      <c r="J75" s="33"/>
      <c r="K75" s="38"/>
      <c r="L75" s="80"/>
      <c r="M75" s="38"/>
      <c r="N75" s="35"/>
      <c r="O75" s="36"/>
      <c r="P75" s="186"/>
      <c r="Q75" s="172"/>
      <c r="R75" s="172"/>
      <c r="S75" s="172"/>
      <c r="T75" s="172"/>
      <c r="U75" s="71"/>
      <c r="V75" s="50"/>
      <c r="W75" s="50"/>
      <c r="X75" s="81"/>
      <c r="Y75" s="50"/>
      <c r="Z75" s="50"/>
      <c r="AA75" s="50"/>
      <c r="AB75" s="64"/>
      <c r="AC75" s="64"/>
      <c r="AD75" s="64"/>
      <c r="AE75" s="64"/>
      <c r="AF75" s="64"/>
      <c r="AG75" s="64"/>
      <c r="AH75" s="42" t="str">
        <f t="shared" si="0"/>
        <v/>
      </c>
    </row>
    <row r="76" spans="1:34" ht="22.5" customHeight="1">
      <c r="A76" s="89">
        <f>IF(B76&lt;&gt;"",COUNTA($B$16:B76),"")</f>
        <v>45</v>
      </c>
      <c r="B76" s="105" t="s">
        <v>71</v>
      </c>
      <c r="C76" s="33" t="s">
        <v>65</v>
      </c>
      <c r="D76" s="98">
        <v>6</v>
      </c>
      <c r="E76" s="98"/>
      <c r="F76" s="33" t="s">
        <v>54</v>
      </c>
      <c r="G76" s="33" t="s">
        <v>116</v>
      </c>
      <c r="H76" s="79" t="s">
        <v>61</v>
      </c>
      <c r="I76" s="79" t="s">
        <v>60</v>
      </c>
      <c r="J76" s="39" t="s">
        <v>46</v>
      </c>
      <c r="K76" s="34">
        <v>50.125</v>
      </c>
      <c r="L76" s="35" t="str">
        <f t="shared" ref="L76:L78" si="83">IF(K76&lt;&gt;"","X","")</f>
        <v>X</v>
      </c>
      <c r="M76" s="35">
        <v>22.5</v>
      </c>
      <c r="N76" s="35" t="str">
        <f t="shared" ref="N76:N78" si="84">IF(M76&lt;&gt;"","X","")</f>
        <v>X</v>
      </c>
      <c r="O76" s="36">
        <v>0.75</v>
      </c>
      <c r="P76" s="186"/>
      <c r="Q76" s="172">
        <v>1</v>
      </c>
      <c r="R76" s="172"/>
      <c r="S76" s="172"/>
      <c r="T76" s="172">
        <v>1</v>
      </c>
      <c r="U76" s="71">
        <f>SUM(P76:T76)</f>
        <v>2</v>
      </c>
      <c r="V76" s="50">
        <f>K76*M76/144</f>
        <v>7.83203125</v>
      </c>
      <c r="W76" s="50">
        <f t="shared" ref="W76:W78" si="85">V76*U76</f>
        <v>15.6640625</v>
      </c>
      <c r="X76" s="81">
        <f>K76*M76/144</f>
        <v>7.83203125</v>
      </c>
      <c r="Y76" s="50">
        <f t="shared" ref="Y76:Y78" si="86">X76*U76</f>
        <v>15.6640625</v>
      </c>
      <c r="Z76" s="50">
        <f t="shared" ref="Z76:Z78" si="87">V76*0.09290304</f>
        <v>0.72761951250000001</v>
      </c>
      <c r="AA76" s="50">
        <f t="shared" ref="AA76:AA78" si="88">Z76*U76</f>
        <v>1.455239025</v>
      </c>
      <c r="AB76" s="64">
        <v>3.13</v>
      </c>
      <c r="AC76" s="64"/>
      <c r="AD76" s="64">
        <v>1</v>
      </c>
      <c r="AE76" s="64"/>
      <c r="AF76" s="77">
        <f>SUM(AG76:AG78)</f>
        <v>30.201106770833331</v>
      </c>
      <c r="AG76" s="64">
        <f>K76*M76/144*AB76+(SUM(AC76:AE76))</f>
        <v>25.514257812499999</v>
      </c>
      <c r="AH76" s="42">
        <f t="shared" si="0"/>
        <v>51.028515624999997</v>
      </c>
    </row>
    <row r="77" spans="1:34" ht="22.5" customHeight="1">
      <c r="A77" s="89">
        <f>IF(B77&lt;&gt;"",COUNTA($B$16:B77),"")</f>
        <v>46</v>
      </c>
      <c r="B77" s="105" t="s">
        <v>71</v>
      </c>
      <c r="C77" s="33" t="s">
        <v>65</v>
      </c>
      <c r="D77" s="98">
        <v>6</v>
      </c>
      <c r="E77" s="98"/>
      <c r="F77" s="33" t="s">
        <v>54</v>
      </c>
      <c r="G77" s="33" t="s">
        <v>116</v>
      </c>
      <c r="H77" s="79" t="s">
        <v>55</v>
      </c>
      <c r="I77" s="79" t="s">
        <v>60</v>
      </c>
      <c r="J77" s="39" t="s">
        <v>46</v>
      </c>
      <c r="K77" s="34">
        <f>K76</f>
        <v>50.125</v>
      </c>
      <c r="L77" s="38" t="str">
        <f t="shared" si="83"/>
        <v>X</v>
      </c>
      <c r="M77" s="35">
        <v>3</v>
      </c>
      <c r="N77" s="35" t="str">
        <f t="shared" si="84"/>
        <v>X</v>
      </c>
      <c r="O77" s="36">
        <v>0.75</v>
      </c>
      <c r="P77" s="186"/>
      <c r="Q77" s="172">
        <f>Q76</f>
        <v>1</v>
      </c>
      <c r="R77" s="172"/>
      <c r="S77" s="172"/>
      <c r="T77" s="172">
        <f>T76</f>
        <v>1</v>
      </c>
      <c r="U77" s="71">
        <f>SUM(P77:T77)</f>
        <v>2</v>
      </c>
      <c r="V77" s="50">
        <f>K77*M77/144</f>
        <v>1.0442708333333333</v>
      </c>
      <c r="W77" s="50">
        <f t="shared" si="85"/>
        <v>2.0885416666666665</v>
      </c>
      <c r="X77" s="81">
        <f>K77*M77/144</f>
        <v>1.0442708333333333</v>
      </c>
      <c r="Y77" s="50">
        <f t="shared" si="86"/>
        <v>2.0885416666666665</v>
      </c>
      <c r="Z77" s="50">
        <f t="shared" si="87"/>
        <v>9.7015934999999998E-2</v>
      </c>
      <c r="AA77" s="50">
        <f t="shared" si="88"/>
        <v>0.19403187</v>
      </c>
      <c r="AB77" s="64">
        <v>3.13</v>
      </c>
      <c r="AC77" s="64"/>
      <c r="AD77" s="64"/>
      <c r="AE77" s="64"/>
      <c r="AF77" s="64"/>
      <c r="AG77" s="64">
        <f>K77*M77/144*AB77+(SUM(AC77:AE77))</f>
        <v>3.2685677083333329</v>
      </c>
      <c r="AH77" s="42">
        <f t="shared" si="0"/>
        <v>6.5371354166666658</v>
      </c>
    </row>
    <row r="78" spans="1:34" ht="22.5" customHeight="1">
      <c r="A78" s="89">
        <f>IF(B78&lt;&gt;"",COUNTA($B$16:B78),"")</f>
        <v>47</v>
      </c>
      <c r="B78" s="105" t="s">
        <v>71</v>
      </c>
      <c r="C78" s="33" t="s">
        <v>65</v>
      </c>
      <c r="D78" s="98">
        <v>6</v>
      </c>
      <c r="E78" s="98"/>
      <c r="F78" s="33" t="s">
        <v>54</v>
      </c>
      <c r="G78" s="33" t="s">
        <v>116</v>
      </c>
      <c r="H78" s="79" t="s">
        <v>56</v>
      </c>
      <c r="I78" s="79" t="s">
        <v>60</v>
      </c>
      <c r="J78" s="39" t="s">
        <v>46</v>
      </c>
      <c r="K78" s="34">
        <f>M76-0.75</f>
        <v>21.75</v>
      </c>
      <c r="L78" s="38" t="str">
        <f t="shared" si="83"/>
        <v>X</v>
      </c>
      <c r="M78" s="35">
        <v>3</v>
      </c>
      <c r="N78" s="35" t="str">
        <f t="shared" si="84"/>
        <v>X</v>
      </c>
      <c r="O78" s="36">
        <v>0.75</v>
      </c>
      <c r="P78" s="186"/>
      <c r="Q78" s="172">
        <f t="shared" ref="Q78" si="89">Q77</f>
        <v>1</v>
      </c>
      <c r="R78" s="172"/>
      <c r="S78" s="172"/>
      <c r="T78" s="172">
        <f t="shared" ref="T78" si="90">T77</f>
        <v>1</v>
      </c>
      <c r="U78" s="71">
        <f>SUM(P78:T78)</f>
        <v>2</v>
      </c>
      <c r="V78" s="50">
        <f>K78*M78/144</f>
        <v>0.453125</v>
      </c>
      <c r="W78" s="50">
        <f t="shared" si="85"/>
        <v>0.90625</v>
      </c>
      <c r="X78" s="81">
        <f>K78*M78/144</f>
        <v>0.453125</v>
      </c>
      <c r="Y78" s="50">
        <f t="shared" si="86"/>
        <v>0.90625</v>
      </c>
      <c r="Z78" s="50">
        <f t="shared" si="87"/>
        <v>4.2096690000000006E-2</v>
      </c>
      <c r="AA78" s="50">
        <f t="shared" si="88"/>
        <v>8.4193380000000012E-2</v>
      </c>
      <c r="AB78" s="64">
        <v>3.13</v>
      </c>
      <c r="AC78" s="64"/>
      <c r="AD78" s="64"/>
      <c r="AE78" s="64"/>
      <c r="AF78" s="64"/>
      <c r="AG78" s="64">
        <f>K78*M78/144*AB78+(SUM(AC78:AE78))</f>
        <v>1.4182812499999999</v>
      </c>
      <c r="AH78" s="42">
        <f t="shared" si="0"/>
        <v>2.8365624999999999</v>
      </c>
    </row>
    <row r="79" spans="1:34" ht="22.5" customHeight="1">
      <c r="A79" s="88" t="str">
        <f>IF(B79&lt;&gt;"",COUNTA($B$16:B79),"")</f>
        <v/>
      </c>
      <c r="B79" s="105"/>
      <c r="C79" s="33"/>
      <c r="D79" s="99"/>
      <c r="E79" s="98"/>
      <c r="F79" s="78"/>
      <c r="G79" s="33"/>
      <c r="H79" s="37"/>
      <c r="I79" s="37"/>
      <c r="J79" s="33"/>
      <c r="K79" s="38"/>
      <c r="L79" s="35"/>
      <c r="M79" s="38"/>
      <c r="N79" s="35"/>
      <c r="O79" s="36"/>
      <c r="P79" s="186"/>
      <c r="Q79" s="172"/>
      <c r="R79" s="172"/>
      <c r="S79" s="172"/>
      <c r="T79" s="172"/>
      <c r="U79" s="71"/>
      <c r="V79" s="50"/>
      <c r="W79" s="50"/>
      <c r="X79" s="81"/>
      <c r="Y79" s="50"/>
      <c r="Z79" s="50"/>
      <c r="AA79" s="50"/>
      <c r="AB79" s="64"/>
      <c r="AC79" s="64"/>
      <c r="AD79" s="64"/>
      <c r="AE79" s="64"/>
      <c r="AF79" s="64"/>
      <c r="AG79" s="64"/>
      <c r="AH79" s="42" t="str">
        <f t="shared" si="0"/>
        <v/>
      </c>
    </row>
    <row r="80" spans="1:34" ht="22.5" customHeight="1">
      <c r="A80" s="89">
        <f>IF(B80&lt;&gt;"",COUNTA($B$16:B80),"")</f>
        <v>48</v>
      </c>
      <c r="B80" s="105" t="s">
        <v>72</v>
      </c>
      <c r="C80" s="33" t="s">
        <v>43</v>
      </c>
      <c r="D80" s="98">
        <v>8</v>
      </c>
      <c r="E80" s="98"/>
      <c r="F80" s="33" t="s">
        <v>54</v>
      </c>
      <c r="G80" s="33" t="s">
        <v>116</v>
      </c>
      <c r="H80" s="79" t="s">
        <v>61</v>
      </c>
      <c r="I80" s="79" t="s">
        <v>60</v>
      </c>
      <c r="J80" s="39" t="s">
        <v>46</v>
      </c>
      <c r="K80" s="34">
        <v>49.5</v>
      </c>
      <c r="L80" s="35" t="str">
        <f t="shared" ref="L80:L82" si="91">IF(K80&lt;&gt;"","X","")</f>
        <v>X</v>
      </c>
      <c r="M80" s="35">
        <v>22.5</v>
      </c>
      <c r="N80" s="35" t="str">
        <f t="shared" ref="N80:N82" si="92">IF(M80&lt;&gt;"","X","")</f>
        <v>X</v>
      </c>
      <c r="O80" s="36">
        <v>0.75</v>
      </c>
      <c r="P80" s="186">
        <v>3</v>
      </c>
      <c r="Q80" s="172">
        <v>3</v>
      </c>
      <c r="R80" s="172">
        <v>3</v>
      </c>
      <c r="S80" s="172">
        <v>3</v>
      </c>
      <c r="T80" s="172"/>
      <c r="U80" s="71">
        <f>SUM(P80:T80)</f>
        <v>12</v>
      </c>
      <c r="V80" s="50">
        <f>K80*M80/144</f>
        <v>7.734375</v>
      </c>
      <c r="W80" s="50">
        <f t="shared" ref="W80:W82" si="93">V80*U80</f>
        <v>92.8125</v>
      </c>
      <c r="X80" s="81">
        <f>K80*M80/144</f>
        <v>7.734375</v>
      </c>
      <c r="Y80" s="50">
        <f t="shared" ref="Y80:Y82" si="94">X80*U80</f>
        <v>92.8125</v>
      </c>
      <c r="Z80" s="50">
        <f t="shared" ref="Z80:Z82" si="95">V80*0.09290304</f>
        <v>0.71854695000000002</v>
      </c>
      <c r="AA80" s="50">
        <f t="shared" ref="AA80:AA82" si="96">Z80*U80</f>
        <v>8.6225634000000007</v>
      </c>
      <c r="AB80" s="64">
        <v>3.13</v>
      </c>
      <c r="AC80" s="64"/>
      <c r="AD80" s="64">
        <v>1</v>
      </c>
      <c r="AE80" s="64"/>
      <c r="AF80" s="77">
        <f>SUM(AG80:AG82)</f>
        <v>29.854687499999997</v>
      </c>
      <c r="AG80" s="64">
        <f>K80*M80/144*AB80+(SUM(AC80:AE80))</f>
        <v>25.208593749999999</v>
      </c>
      <c r="AH80" s="42">
        <f t="shared" si="0"/>
        <v>302.50312499999995</v>
      </c>
    </row>
    <row r="81" spans="1:34" ht="22.5" customHeight="1">
      <c r="A81" s="89">
        <f>IF(B81&lt;&gt;"",COUNTA($B$16:B81),"")</f>
        <v>49</v>
      </c>
      <c r="B81" s="105" t="s">
        <v>72</v>
      </c>
      <c r="C81" s="33" t="s">
        <v>43</v>
      </c>
      <c r="D81" s="98">
        <v>8</v>
      </c>
      <c r="E81" s="98"/>
      <c r="F81" s="33" t="s">
        <v>54</v>
      </c>
      <c r="G81" s="33" t="s">
        <v>116</v>
      </c>
      <c r="H81" s="79" t="s">
        <v>55</v>
      </c>
      <c r="I81" s="79" t="s">
        <v>60</v>
      </c>
      <c r="J81" s="39" t="s">
        <v>46</v>
      </c>
      <c r="K81" s="34">
        <f>K80</f>
        <v>49.5</v>
      </c>
      <c r="L81" s="38" t="str">
        <f t="shared" si="91"/>
        <v>X</v>
      </c>
      <c r="M81" s="35">
        <v>3</v>
      </c>
      <c r="N81" s="35" t="str">
        <f t="shared" si="92"/>
        <v>X</v>
      </c>
      <c r="O81" s="36">
        <v>0.75</v>
      </c>
      <c r="P81" s="186">
        <f t="shared" ref="P81:S82" si="97">P80</f>
        <v>3</v>
      </c>
      <c r="Q81" s="172">
        <f t="shared" si="97"/>
        <v>3</v>
      </c>
      <c r="R81" s="172">
        <f t="shared" si="97"/>
        <v>3</v>
      </c>
      <c r="S81" s="172">
        <f t="shared" si="97"/>
        <v>3</v>
      </c>
      <c r="T81" s="172"/>
      <c r="U81" s="71">
        <f>SUM(P81:T81)</f>
        <v>12</v>
      </c>
      <c r="V81" s="50">
        <f>K81*M81/144</f>
        <v>1.03125</v>
      </c>
      <c r="W81" s="50">
        <f t="shared" si="93"/>
        <v>12.375</v>
      </c>
      <c r="X81" s="81">
        <f>K81*M81/144</f>
        <v>1.03125</v>
      </c>
      <c r="Y81" s="50">
        <f t="shared" si="94"/>
        <v>12.375</v>
      </c>
      <c r="Z81" s="50">
        <f t="shared" si="95"/>
        <v>9.5806260000000004E-2</v>
      </c>
      <c r="AA81" s="50">
        <f t="shared" si="96"/>
        <v>1.1496751199999999</v>
      </c>
      <c r="AB81" s="64">
        <v>3.13</v>
      </c>
      <c r="AC81" s="64"/>
      <c r="AD81" s="64"/>
      <c r="AE81" s="64"/>
      <c r="AF81" s="64"/>
      <c r="AG81" s="64">
        <f>K81*M81/144*AB81+(SUM(AC81:AE81))</f>
        <v>3.2278124999999998</v>
      </c>
      <c r="AH81" s="42">
        <f t="shared" ref="AH81:AH133" si="98">IF(K81&lt;&gt;"",U81*AG81,"")</f>
        <v>38.733750000000001</v>
      </c>
    </row>
    <row r="82" spans="1:34" ht="22.5" customHeight="1">
      <c r="A82" s="89">
        <f>IF(B82&lt;&gt;"",COUNTA($B$16:B82),"")</f>
        <v>50</v>
      </c>
      <c r="B82" s="105" t="s">
        <v>72</v>
      </c>
      <c r="C82" s="33" t="s">
        <v>43</v>
      </c>
      <c r="D82" s="98">
        <v>8</v>
      </c>
      <c r="E82" s="98"/>
      <c r="F82" s="33" t="s">
        <v>54</v>
      </c>
      <c r="G82" s="33" t="s">
        <v>116</v>
      </c>
      <c r="H82" s="79" t="s">
        <v>56</v>
      </c>
      <c r="I82" s="79" t="s">
        <v>60</v>
      </c>
      <c r="J82" s="39" t="s">
        <v>46</v>
      </c>
      <c r="K82" s="34">
        <f>M80-0.75</f>
        <v>21.75</v>
      </c>
      <c r="L82" s="38" t="str">
        <f t="shared" si="91"/>
        <v>X</v>
      </c>
      <c r="M82" s="35">
        <v>3</v>
      </c>
      <c r="N82" s="35" t="str">
        <f t="shared" si="92"/>
        <v>X</v>
      </c>
      <c r="O82" s="36">
        <v>0.75</v>
      </c>
      <c r="P82" s="186">
        <f t="shared" si="97"/>
        <v>3</v>
      </c>
      <c r="Q82" s="172">
        <f t="shared" si="97"/>
        <v>3</v>
      </c>
      <c r="R82" s="172">
        <f t="shared" si="97"/>
        <v>3</v>
      </c>
      <c r="S82" s="172">
        <f t="shared" si="97"/>
        <v>3</v>
      </c>
      <c r="T82" s="172"/>
      <c r="U82" s="71">
        <f>SUM(P82:T82)</f>
        <v>12</v>
      </c>
      <c r="V82" s="50">
        <f>K82*M82/144</f>
        <v>0.453125</v>
      </c>
      <c r="W82" s="50">
        <f t="shared" si="93"/>
        <v>5.4375</v>
      </c>
      <c r="X82" s="81">
        <f>K82*M82/144</f>
        <v>0.453125</v>
      </c>
      <c r="Y82" s="50">
        <f t="shared" si="94"/>
        <v>5.4375</v>
      </c>
      <c r="Z82" s="50">
        <f t="shared" si="95"/>
        <v>4.2096690000000006E-2</v>
      </c>
      <c r="AA82" s="50">
        <f t="shared" si="96"/>
        <v>0.50516028000000013</v>
      </c>
      <c r="AB82" s="64">
        <v>3.13</v>
      </c>
      <c r="AC82" s="64"/>
      <c r="AD82" s="64"/>
      <c r="AE82" s="64"/>
      <c r="AF82" s="64"/>
      <c r="AG82" s="64">
        <f>K82*M82/144*AB82+(SUM(AC82:AE82))</f>
        <v>1.4182812499999999</v>
      </c>
      <c r="AH82" s="42">
        <f t="shared" si="98"/>
        <v>17.019375</v>
      </c>
    </row>
    <row r="83" spans="1:34" ht="22.5" customHeight="1">
      <c r="A83" s="88" t="str">
        <f>IF(B83&lt;&gt;"",COUNTA($B$16:B83),"")</f>
        <v/>
      </c>
      <c r="B83" s="105"/>
      <c r="C83" s="33"/>
      <c r="D83" s="99"/>
      <c r="E83" s="98"/>
      <c r="F83" s="78"/>
      <c r="G83" s="33"/>
      <c r="H83" s="37"/>
      <c r="I83" s="37"/>
      <c r="J83" s="33"/>
      <c r="K83" s="38"/>
      <c r="L83" s="35"/>
      <c r="M83" s="38"/>
      <c r="N83" s="35"/>
      <c r="O83" s="36"/>
      <c r="P83" s="186"/>
      <c r="Q83" s="172"/>
      <c r="R83" s="172"/>
      <c r="S83" s="172"/>
      <c r="T83" s="172"/>
      <c r="U83" s="71"/>
      <c r="V83" s="50"/>
      <c r="W83" s="50"/>
      <c r="X83" s="81"/>
      <c r="Y83" s="50"/>
      <c r="Z83" s="50"/>
      <c r="AA83" s="50"/>
      <c r="AB83" s="64"/>
      <c r="AC83" s="64"/>
      <c r="AD83" s="64"/>
      <c r="AE83" s="64"/>
      <c r="AF83" s="64"/>
      <c r="AG83" s="64"/>
      <c r="AH83" s="42" t="str">
        <f t="shared" si="98"/>
        <v/>
      </c>
    </row>
    <row r="84" spans="1:34" ht="22.5" customHeight="1">
      <c r="A84" s="89">
        <f>IF(B84&lt;&gt;"",COUNTA($B$16:B84),"")</f>
        <v>51</v>
      </c>
      <c r="B84" s="105" t="s">
        <v>72</v>
      </c>
      <c r="C84" s="33" t="s">
        <v>43</v>
      </c>
      <c r="D84" s="98">
        <v>9</v>
      </c>
      <c r="E84" s="98"/>
      <c r="F84" s="33" t="s">
        <v>54</v>
      </c>
      <c r="G84" s="33" t="s">
        <v>116</v>
      </c>
      <c r="H84" s="79" t="s">
        <v>77</v>
      </c>
      <c r="I84" s="79" t="s">
        <v>77</v>
      </c>
      <c r="J84" s="39" t="s">
        <v>46</v>
      </c>
      <c r="K84" s="34">
        <v>43.75</v>
      </c>
      <c r="L84" s="35" t="str">
        <f t="shared" ref="L84" si="99">IF(K84&lt;&gt;"","X","")</f>
        <v>X</v>
      </c>
      <c r="M84" s="35">
        <v>25.5</v>
      </c>
      <c r="N84" s="35" t="str">
        <f t="shared" ref="N84" si="100">IF(M84&lt;&gt;"","X","")</f>
        <v>X</v>
      </c>
      <c r="O84" s="36">
        <v>0.75</v>
      </c>
      <c r="P84" s="186">
        <v>3</v>
      </c>
      <c r="Q84" s="172">
        <v>3</v>
      </c>
      <c r="R84" s="172">
        <v>3</v>
      </c>
      <c r="S84" s="172">
        <v>3</v>
      </c>
      <c r="T84" s="172"/>
      <c r="U84" s="71">
        <f>SUM(P84:T84)</f>
        <v>12</v>
      </c>
      <c r="V84" s="50">
        <f>K84*M84/144</f>
        <v>7.747395833333333</v>
      </c>
      <c r="W84" s="50">
        <f t="shared" ref="W84" si="101">V84*U84</f>
        <v>92.96875</v>
      </c>
      <c r="X84" s="81">
        <f>K84*M84/144</f>
        <v>7.747395833333333</v>
      </c>
      <c r="Y84" s="50">
        <f t="shared" ref="Y84" si="102">X84*U84</f>
        <v>92.96875</v>
      </c>
      <c r="Z84" s="50">
        <f t="shared" ref="Z84" si="103">V84*0.09290304</f>
        <v>0.71975662500000004</v>
      </c>
      <c r="AA84" s="50">
        <f t="shared" ref="AA84" si="104">Z84*U84</f>
        <v>8.6370795000000005</v>
      </c>
      <c r="AB84" s="64">
        <v>3.13</v>
      </c>
      <c r="AC84" s="64"/>
      <c r="AD84" s="64"/>
      <c r="AE84" s="64"/>
      <c r="AF84" s="77">
        <f>SUM(AG84:AG84)</f>
        <v>24.249348958333332</v>
      </c>
      <c r="AG84" s="64">
        <f>K84*M84/144*AB84+(SUM(AC84:AE84))</f>
        <v>24.249348958333332</v>
      </c>
      <c r="AH84" s="42">
        <f t="shared" si="98"/>
        <v>290.9921875</v>
      </c>
    </row>
    <row r="85" spans="1:34" ht="22.5" customHeight="1">
      <c r="A85" s="88" t="str">
        <f>IF(B85&lt;&gt;"",COUNTA($B$16:B85),"")</f>
        <v/>
      </c>
      <c r="B85" s="105"/>
      <c r="C85" s="33"/>
      <c r="D85" s="99"/>
      <c r="E85" s="98"/>
      <c r="F85" s="78"/>
      <c r="G85" s="33"/>
      <c r="H85" s="37"/>
      <c r="I85" s="37"/>
      <c r="J85" s="33"/>
      <c r="K85" s="38"/>
      <c r="L85" s="35"/>
      <c r="M85" s="38"/>
      <c r="N85" s="35"/>
      <c r="O85" s="36"/>
      <c r="P85" s="186"/>
      <c r="Q85" s="172"/>
      <c r="R85" s="172"/>
      <c r="S85" s="172"/>
      <c r="T85" s="172"/>
      <c r="U85" s="71"/>
      <c r="V85" s="50"/>
      <c r="W85" s="50"/>
      <c r="X85" s="81"/>
      <c r="Y85" s="50"/>
      <c r="Z85" s="50"/>
      <c r="AA85" s="50"/>
      <c r="AB85" s="64"/>
      <c r="AC85" s="64"/>
      <c r="AD85" s="64"/>
      <c r="AE85" s="64"/>
      <c r="AF85" s="64"/>
      <c r="AG85" s="64"/>
      <c r="AH85" s="42" t="str">
        <f t="shared" si="98"/>
        <v/>
      </c>
    </row>
    <row r="86" spans="1:34" ht="22.5" customHeight="1">
      <c r="A86" s="89">
        <f>IF(B86&lt;&gt;"",COUNTA($B$16:B86),"")</f>
        <v>52</v>
      </c>
      <c r="B86" s="105" t="s">
        <v>72</v>
      </c>
      <c r="C86" s="33" t="s">
        <v>65</v>
      </c>
      <c r="D86" s="98">
        <v>11</v>
      </c>
      <c r="E86" s="98"/>
      <c r="F86" s="33" t="s">
        <v>54</v>
      </c>
      <c r="G86" s="33" t="s">
        <v>116</v>
      </c>
      <c r="H86" s="79" t="s">
        <v>61</v>
      </c>
      <c r="I86" s="79" t="s">
        <v>60</v>
      </c>
      <c r="J86" s="39" t="s">
        <v>46</v>
      </c>
      <c r="K86" s="34">
        <v>49.5</v>
      </c>
      <c r="L86" s="35" t="str">
        <f t="shared" ref="L86:L88" si="105">IF(K86&lt;&gt;"","X","")</f>
        <v>X</v>
      </c>
      <c r="M86" s="35">
        <v>22.5</v>
      </c>
      <c r="N86" s="35" t="str">
        <f t="shared" ref="N86:N88" si="106">IF(M86&lt;&gt;"","X","")</f>
        <v>X</v>
      </c>
      <c r="O86" s="36">
        <v>0.75</v>
      </c>
      <c r="P86" s="186">
        <v>3</v>
      </c>
      <c r="Q86" s="172">
        <v>3</v>
      </c>
      <c r="R86" s="172">
        <v>3</v>
      </c>
      <c r="S86" s="172">
        <v>3</v>
      </c>
      <c r="T86" s="172"/>
      <c r="U86" s="71">
        <f>SUM(P86:T86)</f>
        <v>12</v>
      </c>
      <c r="V86" s="50">
        <f>K86*M86/144</f>
        <v>7.734375</v>
      </c>
      <c r="W86" s="50">
        <f t="shared" ref="W86:W88" si="107">V86*U86</f>
        <v>92.8125</v>
      </c>
      <c r="X86" s="81">
        <f>K86*M86/144</f>
        <v>7.734375</v>
      </c>
      <c r="Y86" s="50">
        <f t="shared" ref="Y86:Y88" si="108">X86*U86</f>
        <v>92.8125</v>
      </c>
      <c r="Z86" s="50">
        <f t="shared" ref="Z86:Z88" si="109">V86*0.09290304</f>
        <v>0.71854695000000002</v>
      </c>
      <c r="AA86" s="50">
        <f t="shared" ref="AA86:AA88" si="110">Z86*U86</f>
        <v>8.6225634000000007</v>
      </c>
      <c r="AB86" s="64">
        <v>3.13</v>
      </c>
      <c r="AC86" s="64"/>
      <c r="AD86" s="64">
        <v>1</v>
      </c>
      <c r="AE86" s="64"/>
      <c r="AF86" s="77">
        <f>SUM(AG86:AG88)</f>
        <v>29.854687499999997</v>
      </c>
      <c r="AG86" s="64">
        <f>K86*M86/144*AB86+(SUM(AC86:AE86))</f>
        <v>25.208593749999999</v>
      </c>
      <c r="AH86" s="42">
        <f t="shared" si="98"/>
        <v>302.50312499999995</v>
      </c>
    </row>
    <row r="87" spans="1:34" ht="22.5" customHeight="1">
      <c r="A87" s="89">
        <f>IF(B87&lt;&gt;"",COUNTA($B$16:B87),"")</f>
        <v>53</v>
      </c>
      <c r="B87" s="105" t="s">
        <v>72</v>
      </c>
      <c r="C87" s="33" t="s">
        <v>65</v>
      </c>
      <c r="D87" s="98">
        <v>11</v>
      </c>
      <c r="E87" s="98"/>
      <c r="F87" s="33" t="s">
        <v>54</v>
      </c>
      <c r="G87" s="33" t="s">
        <v>116</v>
      </c>
      <c r="H87" s="79" t="s">
        <v>55</v>
      </c>
      <c r="I87" s="79" t="s">
        <v>60</v>
      </c>
      <c r="J87" s="39" t="s">
        <v>46</v>
      </c>
      <c r="K87" s="34">
        <f>K86</f>
        <v>49.5</v>
      </c>
      <c r="L87" s="38" t="str">
        <f t="shared" si="105"/>
        <v>X</v>
      </c>
      <c r="M87" s="35">
        <v>3</v>
      </c>
      <c r="N87" s="35" t="str">
        <f t="shared" si="106"/>
        <v>X</v>
      </c>
      <c r="O87" s="36">
        <v>0.75</v>
      </c>
      <c r="P87" s="186">
        <f t="shared" ref="P87:S88" si="111">P86</f>
        <v>3</v>
      </c>
      <c r="Q87" s="172">
        <f t="shared" si="111"/>
        <v>3</v>
      </c>
      <c r="R87" s="172">
        <f t="shared" si="111"/>
        <v>3</v>
      </c>
      <c r="S87" s="172">
        <f t="shared" si="111"/>
        <v>3</v>
      </c>
      <c r="T87" s="172"/>
      <c r="U87" s="71">
        <f>SUM(P87:T87)</f>
        <v>12</v>
      </c>
      <c r="V87" s="50">
        <f>K87*M87/144</f>
        <v>1.03125</v>
      </c>
      <c r="W87" s="50">
        <f t="shared" si="107"/>
        <v>12.375</v>
      </c>
      <c r="X87" s="81">
        <f>K87*M87/144</f>
        <v>1.03125</v>
      </c>
      <c r="Y87" s="50">
        <f t="shared" si="108"/>
        <v>12.375</v>
      </c>
      <c r="Z87" s="50">
        <f t="shared" si="109"/>
        <v>9.5806260000000004E-2</v>
      </c>
      <c r="AA87" s="50">
        <f t="shared" si="110"/>
        <v>1.1496751199999999</v>
      </c>
      <c r="AB87" s="64">
        <v>3.13</v>
      </c>
      <c r="AC87" s="64"/>
      <c r="AD87" s="64"/>
      <c r="AE87" s="64"/>
      <c r="AF87" s="64"/>
      <c r="AG87" s="64">
        <f>K87*M87/144*AB87+(SUM(AC87:AE87))</f>
        <v>3.2278124999999998</v>
      </c>
      <c r="AH87" s="42">
        <f t="shared" si="98"/>
        <v>38.733750000000001</v>
      </c>
    </row>
    <row r="88" spans="1:34" ht="22.5" customHeight="1">
      <c r="A88" s="89">
        <f>IF(B88&lt;&gt;"",COUNTA($B$16:B88),"")</f>
        <v>54</v>
      </c>
      <c r="B88" s="105" t="s">
        <v>72</v>
      </c>
      <c r="C88" s="33" t="s">
        <v>65</v>
      </c>
      <c r="D88" s="98">
        <v>11</v>
      </c>
      <c r="E88" s="98"/>
      <c r="F88" s="33" t="s">
        <v>54</v>
      </c>
      <c r="G88" s="33" t="s">
        <v>116</v>
      </c>
      <c r="H88" s="79" t="s">
        <v>56</v>
      </c>
      <c r="I88" s="79" t="s">
        <v>60</v>
      </c>
      <c r="J88" s="39" t="s">
        <v>46</v>
      </c>
      <c r="K88" s="34">
        <f>M86-0.75</f>
        <v>21.75</v>
      </c>
      <c r="L88" s="38" t="str">
        <f t="shared" si="105"/>
        <v>X</v>
      </c>
      <c r="M88" s="35">
        <v>3</v>
      </c>
      <c r="N88" s="35" t="str">
        <f t="shared" si="106"/>
        <v>X</v>
      </c>
      <c r="O88" s="36">
        <v>0.75</v>
      </c>
      <c r="P88" s="186">
        <f t="shared" si="111"/>
        <v>3</v>
      </c>
      <c r="Q88" s="172">
        <f t="shared" si="111"/>
        <v>3</v>
      </c>
      <c r="R88" s="172">
        <f t="shared" si="111"/>
        <v>3</v>
      </c>
      <c r="S88" s="172">
        <f t="shared" si="111"/>
        <v>3</v>
      </c>
      <c r="T88" s="172"/>
      <c r="U88" s="71">
        <f>SUM(P88:T88)</f>
        <v>12</v>
      </c>
      <c r="V88" s="50">
        <f>K88*M88/144</f>
        <v>0.453125</v>
      </c>
      <c r="W88" s="50">
        <f t="shared" si="107"/>
        <v>5.4375</v>
      </c>
      <c r="X88" s="81">
        <f>K88*M88/144</f>
        <v>0.453125</v>
      </c>
      <c r="Y88" s="50">
        <f t="shared" si="108"/>
        <v>5.4375</v>
      </c>
      <c r="Z88" s="50">
        <f t="shared" si="109"/>
        <v>4.2096690000000006E-2</v>
      </c>
      <c r="AA88" s="50">
        <f t="shared" si="110"/>
        <v>0.50516028000000013</v>
      </c>
      <c r="AB88" s="64">
        <v>3.13</v>
      </c>
      <c r="AC88" s="64"/>
      <c r="AD88" s="64"/>
      <c r="AE88" s="64"/>
      <c r="AF88" s="64"/>
      <c r="AG88" s="64">
        <f>K88*M88/144*AB88+(SUM(AC88:AE88))</f>
        <v>1.4182812499999999</v>
      </c>
      <c r="AH88" s="42">
        <f t="shared" si="98"/>
        <v>17.019375</v>
      </c>
    </row>
    <row r="89" spans="1:34" ht="22.5" customHeight="1">
      <c r="A89" s="88" t="str">
        <f>IF(B89&lt;&gt;"",COUNTA($B$16:B89),"")</f>
        <v/>
      </c>
      <c r="B89" s="105"/>
      <c r="C89" s="33"/>
      <c r="D89" s="99"/>
      <c r="E89" s="98"/>
      <c r="F89" s="78"/>
      <c r="G89" s="33"/>
      <c r="H89" s="37"/>
      <c r="I89" s="37"/>
      <c r="J89" s="33"/>
      <c r="K89" s="38"/>
      <c r="L89" s="35"/>
      <c r="M89" s="38"/>
      <c r="N89" s="35"/>
      <c r="O89" s="36"/>
      <c r="P89" s="186"/>
      <c r="Q89" s="172"/>
      <c r="R89" s="172"/>
      <c r="S89" s="172"/>
      <c r="T89" s="172"/>
      <c r="U89" s="71"/>
      <c r="V89" s="50"/>
      <c r="W89" s="50"/>
      <c r="X89" s="81"/>
      <c r="Y89" s="50"/>
      <c r="Z89" s="50"/>
      <c r="AA89" s="50"/>
      <c r="AB89" s="64"/>
      <c r="AC89" s="64"/>
      <c r="AD89" s="64"/>
      <c r="AE89" s="64"/>
      <c r="AF89" s="64"/>
      <c r="AG89" s="64"/>
      <c r="AH89" s="42" t="str">
        <f t="shared" si="98"/>
        <v/>
      </c>
    </row>
    <row r="90" spans="1:34" ht="22.5" customHeight="1">
      <c r="A90" s="89">
        <f>IF(B90&lt;&gt;"",COUNTA($B$16:B90),"")</f>
        <v>55</v>
      </c>
      <c r="B90" s="105" t="s">
        <v>72</v>
      </c>
      <c r="C90" s="33" t="s">
        <v>65</v>
      </c>
      <c r="D90" s="98">
        <v>12</v>
      </c>
      <c r="E90" s="98"/>
      <c r="F90" s="33" t="s">
        <v>54</v>
      </c>
      <c r="G90" s="33" t="s">
        <v>116</v>
      </c>
      <c r="H90" s="79" t="s">
        <v>77</v>
      </c>
      <c r="I90" s="79" t="s">
        <v>77</v>
      </c>
      <c r="J90" s="39" t="s">
        <v>46</v>
      </c>
      <c r="K90" s="34">
        <v>43.75</v>
      </c>
      <c r="L90" s="35" t="str">
        <f t="shared" ref="L90" si="112">IF(K90&lt;&gt;"","X","")</f>
        <v>X</v>
      </c>
      <c r="M90" s="35">
        <v>25.5</v>
      </c>
      <c r="N90" s="35" t="str">
        <f t="shared" ref="N90" si="113">IF(M90&lt;&gt;"","X","")</f>
        <v>X</v>
      </c>
      <c r="O90" s="36">
        <v>0.75</v>
      </c>
      <c r="P90" s="186">
        <v>3</v>
      </c>
      <c r="Q90" s="172">
        <v>3</v>
      </c>
      <c r="R90" s="172">
        <v>3</v>
      </c>
      <c r="S90" s="172">
        <v>3</v>
      </c>
      <c r="T90" s="172"/>
      <c r="U90" s="71">
        <f>SUM(P90:T90)</f>
        <v>12</v>
      </c>
      <c r="V90" s="50">
        <f>K90*M90/144</f>
        <v>7.747395833333333</v>
      </c>
      <c r="W90" s="50">
        <f t="shared" ref="W90" si="114">V90*U90</f>
        <v>92.96875</v>
      </c>
      <c r="X90" s="81">
        <f>K90*M90/144</f>
        <v>7.747395833333333</v>
      </c>
      <c r="Y90" s="50">
        <f t="shared" ref="Y90" si="115">X90*U90</f>
        <v>92.96875</v>
      </c>
      <c r="Z90" s="50">
        <f t="shared" ref="Z90" si="116">V90*0.09290304</f>
        <v>0.71975662500000004</v>
      </c>
      <c r="AA90" s="50">
        <f t="shared" ref="AA90" si="117">Z90*U90</f>
        <v>8.6370795000000005</v>
      </c>
      <c r="AB90" s="64">
        <v>3.13</v>
      </c>
      <c r="AC90" s="64"/>
      <c r="AD90" s="64"/>
      <c r="AE90" s="64"/>
      <c r="AF90" s="77">
        <f>SUM(AG90:AG90)</f>
        <v>24.249348958333332</v>
      </c>
      <c r="AG90" s="64">
        <f>K90*M90/144*AB90+(SUM(AC90:AE90))</f>
        <v>24.249348958333332</v>
      </c>
      <c r="AH90" s="42">
        <f t="shared" si="98"/>
        <v>290.9921875</v>
      </c>
    </row>
    <row r="91" spans="1:34" ht="22.5" customHeight="1">
      <c r="A91" s="88" t="str">
        <f>IF(B91&lt;&gt;"",COUNTA($B$16:B91),"")</f>
        <v/>
      </c>
      <c r="B91" s="104"/>
      <c r="C91" s="33"/>
      <c r="D91" s="99"/>
      <c r="E91" s="98"/>
      <c r="F91" s="78"/>
      <c r="G91" s="33"/>
      <c r="H91" s="37"/>
      <c r="I91" s="37"/>
      <c r="J91" s="33"/>
      <c r="K91" s="38"/>
      <c r="L91" s="80"/>
      <c r="M91" s="38"/>
      <c r="N91" s="35"/>
      <c r="O91" s="36"/>
      <c r="P91" s="186"/>
      <c r="Q91" s="172"/>
      <c r="R91" s="172"/>
      <c r="S91" s="172"/>
      <c r="T91" s="172"/>
      <c r="U91" s="71"/>
      <c r="V91" s="50"/>
      <c r="W91" s="50"/>
      <c r="X91" s="81"/>
      <c r="Y91" s="50"/>
      <c r="Z91" s="50"/>
      <c r="AA91" s="50"/>
      <c r="AB91" s="64"/>
      <c r="AC91" s="64"/>
      <c r="AD91" s="64"/>
      <c r="AE91" s="64"/>
      <c r="AF91" s="64"/>
      <c r="AG91" s="64"/>
      <c r="AH91" s="42" t="str">
        <f t="shared" si="98"/>
        <v/>
      </c>
    </row>
    <row r="92" spans="1:34" ht="22.5" customHeight="1">
      <c r="A92" s="89">
        <f>IF(B92&lt;&gt;"",COUNTA($B$16:B92),"")</f>
        <v>56</v>
      </c>
      <c r="B92" s="105" t="s">
        <v>73</v>
      </c>
      <c r="C92" s="33" t="s">
        <v>43</v>
      </c>
      <c r="D92" s="98">
        <v>14</v>
      </c>
      <c r="E92" s="98"/>
      <c r="F92" s="33" t="s">
        <v>54</v>
      </c>
      <c r="G92" s="33" t="s">
        <v>116</v>
      </c>
      <c r="H92" s="103" t="s">
        <v>61</v>
      </c>
      <c r="I92" s="79" t="s">
        <v>60</v>
      </c>
      <c r="J92" s="39" t="s">
        <v>46</v>
      </c>
      <c r="K92" s="34">
        <v>79.5</v>
      </c>
      <c r="L92" s="35" t="str">
        <f t="shared" ref="L92:L94" si="118">IF(K92&lt;&gt;"","X","")</f>
        <v>X</v>
      </c>
      <c r="M92" s="35">
        <v>22.5</v>
      </c>
      <c r="N92" s="35" t="str">
        <f t="shared" ref="N92:N94" si="119">IF(M92&lt;&gt;"","X","")</f>
        <v>X</v>
      </c>
      <c r="O92" s="36">
        <v>0.75</v>
      </c>
      <c r="P92" s="186">
        <v>1</v>
      </c>
      <c r="Q92" s="172">
        <v>1</v>
      </c>
      <c r="R92" s="172">
        <v>1</v>
      </c>
      <c r="S92" s="172">
        <v>1</v>
      </c>
      <c r="T92" s="172"/>
      <c r="U92" s="71">
        <f>SUM(P92:T92)</f>
        <v>4</v>
      </c>
      <c r="V92" s="50">
        <f>K92*M92/144</f>
        <v>12.421875</v>
      </c>
      <c r="W92" s="50">
        <f t="shared" ref="W92:W94" si="120">V92*U92</f>
        <v>49.6875</v>
      </c>
      <c r="X92" s="81">
        <f>K92*M92/144</f>
        <v>12.421875</v>
      </c>
      <c r="Y92" s="50">
        <f t="shared" ref="Y92:Y94" si="121">X92*U92</f>
        <v>49.6875</v>
      </c>
      <c r="Z92" s="50">
        <f t="shared" ref="Z92:Z94" si="122">V92*0.09290304</f>
        <v>1.15402995</v>
      </c>
      <c r="AA92" s="50">
        <f t="shared" ref="AA92:AA94" si="123">Z92*U92</f>
        <v>4.6161197999999999</v>
      </c>
      <c r="AB92" s="64">
        <v>3.13</v>
      </c>
      <c r="AC92" s="64">
        <v>3</v>
      </c>
      <c r="AD92" s="64">
        <v>2</v>
      </c>
      <c r="AE92" s="64">
        <v>10</v>
      </c>
      <c r="AF92" s="77">
        <f>SUM(AG92:AG94)</f>
        <v>60.482812500000001</v>
      </c>
      <c r="AG92" s="64">
        <f>K92*M92/144*AB92+(SUM(AC92:AE92))</f>
        <v>53.880468749999999</v>
      </c>
      <c r="AH92" s="42">
        <f t="shared" si="98"/>
        <v>215.52187499999999</v>
      </c>
    </row>
    <row r="93" spans="1:34" ht="22.5" customHeight="1">
      <c r="A93" s="89">
        <f>IF(B93&lt;&gt;"",COUNTA($B$16:B93),"")</f>
        <v>57</v>
      </c>
      <c r="B93" s="105" t="s">
        <v>73</v>
      </c>
      <c r="C93" s="33" t="s">
        <v>43</v>
      </c>
      <c r="D93" s="98">
        <v>14</v>
      </c>
      <c r="E93" s="98"/>
      <c r="F93" s="33" t="s">
        <v>54</v>
      </c>
      <c r="G93" s="33" t="s">
        <v>116</v>
      </c>
      <c r="H93" s="79" t="s">
        <v>55</v>
      </c>
      <c r="I93" s="79" t="s">
        <v>60</v>
      </c>
      <c r="J93" s="39" t="s">
        <v>46</v>
      </c>
      <c r="K93" s="34">
        <f>K92</f>
        <v>79.5</v>
      </c>
      <c r="L93" s="38" t="str">
        <f t="shared" si="118"/>
        <v>X</v>
      </c>
      <c r="M93" s="35">
        <v>3</v>
      </c>
      <c r="N93" s="35" t="str">
        <f t="shared" si="119"/>
        <v>X</v>
      </c>
      <c r="O93" s="36">
        <v>0.75</v>
      </c>
      <c r="P93" s="186">
        <f t="shared" ref="P93:S94" si="124">P92</f>
        <v>1</v>
      </c>
      <c r="Q93" s="172">
        <f t="shared" si="124"/>
        <v>1</v>
      </c>
      <c r="R93" s="172">
        <f t="shared" si="124"/>
        <v>1</v>
      </c>
      <c r="S93" s="172">
        <f t="shared" si="124"/>
        <v>1</v>
      </c>
      <c r="T93" s="172"/>
      <c r="U93" s="71">
        <f>SUM(P93:T93)</f>
        <v>4</v>
      </c>
      <c r="V93" s="50">
        <f>K93*M93/144</f>
        <v>1.65625</v>
      </c>
      <c r="W93" s="50">
        <f t="shared" si="120"/>
        <v>6.625</v>
      </c>
      <c r="X93" s="81">
        <f>K93*M93/144</f>
        <v>1.65625</v>
      </c>
      <c r="Y93" s="50">
        <f t="shared" si="121"/>
        <v>6.625</v>
      </c>
      <c r="Z93" s="50">
        <f t="shared" si="122"/>
        <v>0.15387066000000002</v>
      </c>
      <c r="AA93" s="50">
        <f t="shared" si="123"/>
        <v>0.61548264000000008</v>
      </c>
      <c r="AB93" s="64">
        <v>3.13</v>
      </c>
      <c r="AC93" s="64"/>
      <c r="AD93" s="64"/>
      <c r="AE93" s="64"/>
      <c r="AF93" s="64"/>
      <c r="AG93" s="64">
        <f>K93*M93/144*AB93+(SUM(AC93:AE93))</f>
        <v>5.1840624999999996</v>
      </c>
      <c r="AH93" s="42">
        <f t="shared" si="98"/>
        <v>20.736249999999998</v>
      </c>
    </row>
    <row r="94" spans="1:34" ht="22.5" customHeight="1">
      <c r="A94" s="89">
        <f>IF(B94&lt;&gt;"",COUNTA($B$16:B94),"")</f>
        <v>58</v>
      </c>
      <c r="B94" s="105" t="s">
        <v>73</v>
      </c>
      <c r="C94" s="33" t="s">
        <v>43</v>
      </c>
      <c r="D94" s="98">
        <v>14</v>
      </c>
      <c r="E94" s="98"/>
      <c r="F94" s="33" t="s">
        <v>54</v>
      </c>
      <c r="G94" s="33" t="s">
        <v>116</v>
      </c>
      <c r="H94" s="79" t="s">
        <v>56</v>
      </c>
      <c r="I94" s="79" t="s">
        <v>60</v>
      </c>
      <c r="J94" s="39" t="s">
        <v>46</v>
      </c>
      <c r="K94" s="34">
        <f>M92-0.75</f>
        <v>21.75</v>
      </c>
      <c r="L94" s="38" t="str">
        <f t="shared" si="118"/>
        <v>X</v>
      </c>
      <c r="M94" s="35">
        <v>3</v>
      </c>
      <c r="N94" s="35" t="str">
        <f t="shared" si="119"/>
        <v>X</v>
      </c>
      <c r="O94" s="36">
        <v>0.75</v>
      </c>
      <c r="P94" s="186">
        <f t="shared" si="124"/>
        <v>1</v>
      </c>
      <c r="Q94" s="172">
        <f t="shared" si="124"/>
        <v>1</v>
      </c>
      <c r="R94" s="172">
        <f t="shared" si="124"/>
        <v>1</v>
      </c>
      <c r="S94" s="172">
        <f t="shared" si="124"/>
        <v>1</v>
      </c>
      <c r="T94" s="172"/>
      <c r="U94" s="71">
        <f>SUM(P94:T94)</f>
        <v>4</v>
      </c>
      <c r="V94" s="50">
        <f>K94*M94/144</f>
        <v>0.453125</v>
      </c>
      <c r="W94" s="50">
        <f t="shared" si="120"/>
        <v>1.8125</v>
      </c>
      <c r="X94" s="81">
        <f>K94*M94/144</f>
        <v>0.453125</v>
      </c>
      <c r="Y94" s="50">
        <f t="shared" si="121"/>
        <v>1.8125</v>
      </c>
      <c r="Z94" s="50">
        <f t="shared" si="122"/>
        <v>4.2096690000000006E-2</v>
      </c>
      <c r="AA94" s="50">
        <f t="shared" si="123"/>
        <v>0.16838676000000002</v>
      </c>
      <c r="AB94" s="64">
        <v>3.13</v>
      </c>
      <c r="AC94" s="64"/>
      <c r="AD94" s="64"/>
      <c r="AE94" s="64"/>
      <c r="AF94" s="64"/>
      <c r="AG94" s="64">
        <f>K94*M94/144*AB94+(SUM(AC94:AE94))</f>
        <v>1.4182812499999999</v>
      </c>
      <c r="AH94" s="42">
        <f t="shared" si="98"/>
        <v>5.6731249999999998</v>
      </c>
    </row>
    <row r="95" spans="1:34" ht="22.5" customHeight="1">
      <c r="A95" s="88" t="str">
        <f>IF(B95&lt;&gt;"",COUNTA($B$16:B95),"")</f>
        <v/>
      </c>
      <c r="B95" s="104"/>
      <c r="C95" s="33"/>
      <c r="D95" s="99"/>
      <c r="E95" s="98"/>
      <c r="F95" s="78"/>
      <c r="G95" s="33"/>
      <c r="H95" s="37"/>
      <c r="I95" s="37"/>
      <c r="J95" s="33"/>
      <c r="K95" s="38"/>
      <c r="L95" s="80"/>
      <c r="M95" s="38"/>
      <c r="N95" s="35"/>
      <c r="O95" s="36"/>
      <c r="P95" s="186"/>
      <c r="Q95" s="172"/>
      <c r="R95" s="172"/>
      <c r="S95" s="172"/>
      <c r="T95" s="172"/>
      <c r="U95" s="71"/>
      <c r="V95" s="50"/>
      <c r="W95" s="50"/>
      <c r="X95" s="81"/>
      <c r="Y95" s="50"/>
      <c r="Z95" s="50"/>
      <c r="AA95" s="50"/>
      <c r="AB95" s="64"/>
      <c r="AC95" s="64"/>
      <c r="AD95" s="64"/>
      <c r="AE95" s="64"/>
      <c r="AF95" s="64"/>
      <c r="AG95" s="64"/>
      <c r="AH95" s="42" t="str">
        <f t="shared" si="98"/>
        <v/>
      </c>
    </row>
    <row r="96" spans="1:34" ht="22.5" customHeight="1">
      <c r="A96" s="89">
        <f>IF(B96&lt;&gt;"",COUNTA($B$16:B96),"")</f>
        <v>59</v>
      </c>
      <c r="B96" s="105" t="s">
        <v>73</v>
      </c>
      <c r="C96" s="33" t="s">
        <v>43</v>
      </c>
      <c r="D96" s="98">
        <v>15</v>
      </c>
      <c r="E96" s="98"/>
      <c r="F96" s="33" t="s">
        <v>54</v>
      </c>
      <c r="G96" s="33" t="s">
        <v>116</v>
      </c>
      <c r="H96" s="79" t="s">
        <v>78</v>
      </c>
      <c r="I96" s="79" t="s">
        <v>78</v>
      </c>
      <c r="J96" s="39" t="s">
        <v>46</v>
      </c>
      <c r="K96" s="34">
        <v>41.5</v>
      </c>
      <c r="L96" s="35" t="str">
        <f t="shared" ref="L96" si="125">IF(K96&lt;&gt;"","X","")</f>
        <v>X</v>
      </c>
      <c r="M96" s="35">
        <v>8.75</v>
      </c>
      <c r="N96" s="35" t="str">
        <f t="shared" ref="N96" si="126">IF(M96&lt;&gt;"","X","")</f>
        <v>X</v>
      </c>
      <c r="O96" s="36">
        <v>0.75</v>
      </c>
      <c r="P96" s="186">
        <v>1</v>
      </c>
      <c r="Q96" s="172">
        <v>1</v>
      </c>
      <c r="R96" s="172">
        <v>1</v>
      </c>
      <c r="S96" s="172">
        <v>1</v>
      </c>
      <c r="T96" s="172"/>
      <c r="U96" s="71">
        <f>SUM(P96:T96)</f>
        <v>4</v>
      </c>
      <c r="V96" s="50">
        <f>K96*M96/144</f>
        <v>2.5217013888888888</v>
      </c>
      <c r="W96" s="50">
        <f t="shared" ref="W96" si="127">V96*U96</f>
        <v>10.086805555555555</v>
      </c>
      <c r="X96" s="81">
        <f>K96*M96/144</f>
        <v>2.5217013888888888</v>
      </c>
      <c r="Y96" s="50">
        <f t="shared" ref="Y96" si="128">X96*U96</f>
        <v>10.086805555555555</v>
      </c>
      <c r="Z96" s="50">
        <f t="shared" ref="Z96" si="129">V96*0.09290304</f>
        <v>0.23427372500000002</v>
      </c>
      <c r="AA96" s="50">
        <f t="shared" ref="AA96" si="130">Z96*U96</f>
        <v>0.93709490000000006</v>
      </c>
      <c r="AB96" s="64">
        <v>3.13</v>
      </c>
      <c r="AC96" s="64"/>
      <c r="AD96" s="64"/>
      <c r="AE96" s="64"/>
      <c r="AF96" s="77">
        <f>SUM(AG96:AG96)</f>
        <v>7.8929253472222216</v>
      </c>
      <c r="AG96" s="64">
        <f>K96*M96/144*AB96+(SUM(AC96:AE96))</f>
        <v>7.8929253472222216</v>
      </c>
      <c r="AH96" s="42">
        <f t="shared" si="98"/>
        <v>31.571701388888886</v>
      </c>
    </row>
    <row r="97" spans="1:34" ht="22.5" customHeight="1">
      <c r="A97" s="88" t="str">
        <f>IF(B97&lt;&gt;"",COUNTA($B$16:B97),"")</f>
        <v/>
      </c>
      <c r="B97" s="104"/>
      <c r="C97" s="33"/>
      <c r="D97" s="99"/>
      <c r="E97" s="98"/>
      <c r="F97" s="78"/>
      <c r="G97" s="33"/>
      <c r="H97" s="37"/>
      <c r="I97" s="37"/>
      <c r="J97" s="33"/>
      <c r="K97" s="38"/>
      <c r="L97" s="80"/>
      <c r="M97" s="38"/>
      <c r="N97" s="35"/>
      <c r="O97" s="36"/>
      <c r="P97" s="186"/>
      <c r="Q97" s="172"/>
      <c r="R97" s="172"/>
      <c r="S97" s="172"/>
      <c r="T97" s="172"/>
      <c r="U97" s="71"/>
      <c r="V97" s="50"/>
      <c r="W97" s="50"/>
      <c r="X97" s="81"/>
      <c r="Y97" s="50"/>
      <c r="Z97" s="50"/>
      <c r="AA97" s="50"/>
      <c r="AB97" s="64"/>
      <c r="AC97" s="64"/>
      <c r="AD97" s="64"/>
      <c r="AE97" s="64"/>
      <c r="AF97" s="64"/>
      <c r="AG97" s="64"/>
      <c r="AH97" s="42" t="str">
        <f t="shared" si="98"/>
        <v/>
      </c>
    </row>
    <row r="98" spans="1:34" ht="22.5" customHeight="1">
      <c r="A98" s="89">
        <f>IF(B98&lt;&gt;"",COUNTA($B$16:B98),"")</f>
        <v>60</v>
      </c>
      <c r="B98" s="105" t="s">
        <v>73</v>
      </c>
      <c r="C98" s="33" t="s">
        <v>65</v>
      </c>
      <c r="D98" s="98">
        <v>17</v>
      </c>
      <c r="E98" s="98"/>
      <c r="F98" s="33" t="s">
        <v>54</v>
      </c>
      <c r="G98" s="33" t="s">
        <v>116</v>
      </c>
      <c r="H98" s="103" t="s">
        <v>61</v>
      </c>
      <c r="I98" s="79" t="s">
        <v>60</v>
      </c>
      <c r="J98" s="39" t="s">
        <v>46</v>
      </c>
      <c r="K98" s="34">
        <v>79.5</v>
      </c>
      <c r="L98" s="35" t="str">
        <f t="shared" ref="L98:L100" si="131">IF(K98&lt;&gt;"","X","")</f>
        <v>X</v>
      </c>
      <c r="M98" s="35">
        <v>22.5</v>
      </c>
      <c r="N98" s="35" t="str">
        <f t="shared" ref="N98:N100" si="132">IF(M98&lt;&gt;"","X","")</f>
        <v>X</v>
      </c>
      <c r="O98" s="36">
        <v>0.75</v>
      </c>
      <c r="P98" s="186">
        <v>4</v>
      </c>
      <c r="Q98" s="172">
        <v>4</v>
      </c>
      <c r="R98" s="172">
        <v>4</v>
      </c>
      <c r="S98" s="172">
        <v>3</v>
      </c>
      <c r="T98" s="172">
        <v>1</v>
      </c>
      <c r="U98" s="71">
        <f>SUM(P98:T98)</f>
        <v>16</v>
      </c>
      <c r="V98" s="50">
        <f>K98*M98/144</f>
        <v>12.421875</v>
      </c>
      <c r="W98" s="50">
        <f t="shared" ref="W98:W100" si="133">V98*U98</f>
        <v>198.75</v>
      </c>
      <c r="X98" s="81">
        <f>K98*M98/144</f>
        <v>12.421875</v>
      </c>
      <c r="Y98" s="50">
        <f t="shared" ref="Y98:Y100" si="134">X98*U98</f>
        <v>198.75</v>
      </c>
      <c r="Z98" s="50">
        <f t="shared" ref="Z98:Z100" si="135">V98*0.09290304</f>
        <v>1.15402995</v>
      </c>
      <c r="AA98" s="50">
        <f t="shared" ref="AA98:AA100" si="136">Z98*U98</f>
        <v>18.4644792</v>
      </c>
      <c r="AB98" s="64">
        <v>3.13</v>
      </c>
      <c r="AC98" s="64">
        <v>3</v>
      </c>
      <c r="AD98" s="64">
        <v>2</v>
      </c>
      <c r="AE98" s="64">
        <v>10</v>
      </c>
      <c r="AF98" s="77">
        <f>SUM(AG98:AG100)</f>
        <v>60.482812500000001</v>
      </c>
      <c r="AG98" s="64">
        <f>K98*M98/144*AB98+(SUM(AC98:AE98))</f>
        <v>53.880468749999999</v>
      </c>
      <c r="AH98" s="42">
        <f t="shared" si="98"/>
        <v>862.08749999999998</v>
      </c>
    </row>
    <row r="99" spans="1:34" ht="22.5" customHeight="1">
      <c r="A99" s="89">
        <f>IF(B99&lt;&gt;"",COUNTA($B$16:B99),"")</f>
        <v>61</v>
      </c>
      <c r="B99" s="105" t="s">
        <v>73</v>
      </c>
      <c r="C99" s="33" t="s">
        <v>65</v>
      </c>
      <c r="D99" s="98">
        <v>17</v>
      </c>
      <c r="E99" s="98"/>
      <c r="F99" s="33" t="s">
        <v>54</v>
      </c>
      <c r="G99" s="33" t="s">
        <v>116</v>
      </c>
      <c r="H99" s="79" t="s">
        <v>55</v>
      </c>
      <c r="I99" s="79" t="s">
        <v>60</v>
      </c>
      <c r="J99" s="39" t="s">
        <v>46</v>
      </c>
      <c r="K99" s="34">
        <f>K98</f>
        <v>79.5</v>
      </c>
      <c r="L99" s="38" t="str">
        <f t="shared" si="131"/>
        <v>X</v>
      </c>
      <c r="M99" s="35">
        <v>3</v>
      </c>
      <c r="N99" s="35" t="str">
        <f t="shared" si="132"/>
        <v>X</v>
      </c>
      <c r="O99" s="36">
        <v>0.75</v>
      </c>
      <c r="P99" s="186">
        <f t="shared" ref="P99:T100" si="137">P98</f>
        <v>4</v>
      </c>
      <c r="Q99" s="172">
        <f t="shared" si="137"/>
        <v>4</v>
      </c>
      <c r="R99" s="172">
        <f t="shared" si="137"/>
        <v>4</v>
      </c>
      <c r="S99" s="172">
        <f t="shared" si="137"/>
        <v>3</v>
      </c>
      <c r="T99" s="172">
        <f t="shared" si="137"/>
        <v>1</v>
      </c>
      <c r="U99" s="71">
        <f>SUM(P99:T99)</f>
        <v>16</v>
      </c>
      <c r="V99" s="50">
        <f>K99*M99/144</f>
        <v>1.65625</v>
      </c>
      <c r="W99" s="50">
        <f t="shared" si="133"/>
        <v>26.5</v>
      </c>
      <c r="X99" s="81">
        <f>K99*M99/144</f>
        <v>1.65625</v>
      </c>
      <c r="Y99" s="50">
        <f t="shared" si="134"/>
        <v>26.5</v>
      </c>
      <c r="Z99" s="50">
        <f t="shared" si="135"/>
        <v>0.15387066000000002</v>
      </c>
      <c r="AA99" s="50">
        <f t="shared" si="136"/>
        <v>2.4619305600000003</v>
      </c>
      <c r="AB99" s="64">
        <v>3.13</v>
      </c>
      <c r="AC99" s="64"/>
      <c r="AD99" s="64"/>
      <c r="AE99" s="64"/>
      <c r="AF99" s="64"/>
      <c r="AG99" s="64">
        <f>K99*M99/144*AB99+(SUM(AC99:AE99))</f>
        <v>5.1840624999999996</v>
      </c>
      <c r="AH99" s="42">
        <f t="shared" si="98"/>
        <v>82.944999999999993</v>
      </c>
    </row>
    <row r="100" spans="1:34" ht="22.5" customHeight="1">
      <c r="A100" s="89">
        <f>IF(B100&lt;&gt;"",COUNTA($B$16:B100),"")</f>
        <v>62</v>
      </c>
      <c r="B100" s="105" t="s">
        <v>73</v>
      </c>
      <c r="C100" s="33" t="s">
        <v>65</v>
      </c>
      <c r="D100" s="98">
        <v>17</v>
      </c>
      <c r="E100" s="98"/>
      <c r="F100" s="33" t="s">
        <v>54</v>
      </c>
      <c r="G100" s="33" t="s">
        <v>116</v>
      </c>
      <c r="H100" s="79" t="s">
        <v>56</v>
      </c>
      <c r="I100" s="79" t="s">
        <v>60</v>
      </c>
      <c r="J100" s="39" t="s">
        <v>46</v>
      </c>
      <c r="K100" s="34">
        <f>M98-0.75</f>
        <v>21.75</v>
      </c>
      <c r="L100" s="38" t="str">
        <f t="shared" si="131"/>
        <v>X</v>
      </c>
      <c r="M100" s="35">
        <v>3</v>
      </c>
      <c r="N100" s="35" t="str">
        <f t="shared" si="132"/>
        <v>X</v>
      </c>
      <c r="O100" s="36">
        <v>0.75</v>
      </c>
      <c r="P100" s="186">
        <f t="shared" si="137"/>
        <v>4</v>
      </c>
      <c r="Q100" s="172">
        <f t="shared" si="137"/>
        <v>4</v>
      </c>
      <c r="R100" s="172">
        <f t="shared" si="137"/>
        <v>4</v>
      </c>
      <c r="S100" s="172">
        <f t="shared" si="137"/>
        <v>3</v>
      </c>
      <c r="T100" s="172">
        <f t="shared" si="137"/>
        <v>1</v>
      </c>
      <c r="U100" s="71">
        <f>SUM(P100:T100)</f>
        <v>16</v>
      </c>
      <c r="V100" s="50">
        <f>K100*M100/144</f>
        <v>0.453125</v>
      </c>
      <c r="W100" s="50">
        <f t="shared" si="133"/>
        <v>7.25</v>
      </c>
      <c r="X100" s="81">
        <f>K100*M100/144</f>
        <v>0.453125</v>
      </c>
      <c r="Y100" s="50">
        <f t="shared" si="134"/>
        <v>7.25</v>
      </c>
      <c r="Z100" s="50">
        <f t="shared" si="135"/>
        <v>4.2096690000000006E-2</v>
      </c>
      <c r="AA100" s="50">
        <f t="shared" si="136"/>
        <v>0.6735470400000001</v>
      </c>
      <c r="AB100" s="64">
        <v>3.13</v>
      </c>
      <c r="AC100" s="64"/>
      <c r="AD100" s="64"/>
      <c r="AE100" s="64"/>
      <c r="AF100" s="64"/>
      <c r="AG100" s="64">
        <f>K100*M100/144*AB100+(SUM(AC100:AE100))</f>
        <v>1.4182812499999999</v>
      </c>
      <c r="AH100" s="42">
        <f t="shared" si="98"/>
        <v>22.692499999999999</v>
      </c>
    </row>
    <row r="101" spans="1:34" ht="22.5" customHeight="1">
      <c r="A101" s="88" t="str">
        <f>IF(B101&lt;&gt;"",COUNTA($B$16:B101),"")</f>
        <v/>
      </c>
      <c r="B101" s="104"/>
      <c r="C101" s="33"/>
      <c r="D101" s="99"/>
      <c r="E101" s="98"/>
      <c r="F101" s="78"/>
      <c r="G101" s="33"/>
      <c r="H101" s="37"/>
      <c r="I101" s="37"/>
      <c r="J101" s="33"/>
      <c r="K101" s="38"/>
      <c r="L101" s="80"/>
      <c r="M101" s="38"/>
      <c r="N101" s="35"/>
      <c r="O101" s="36"/>
      <c r="P101" s="186"/>
      <c r="Q101" s="172"/>
      <c r="R101" s="172"/>
      <c r="S101" s="172"/>
      <c r="T101" s="172"/>
      <c r="U101" s="71"/>
      <c r="V101" s="50"/>
      <c r="W101" s="50"/>
      <c r="X101" s="81"/>
      <c r="Y101" s="50"/>
      <c r="Z101" s="50"/>
      <c r="AA101" s="50"/>
      <c r="AB101" s="64"/>
      <c r="AC101" s="64"/>
      <c r="AD101" s="64"/>
      <c r="AE101" s="64"/>
      <c r="AF101" s="64"/>
      <c r="AG101" s="64"/>
      <c r="AH101" s="42" t="str">
        <f t="shared" si="98"/>
        <v/>
      </c>
    </row>
    <row r="102" spans="1:34" ht="22.5" customHeight="1">
      <c r="A102" s="89">
        <f>IF(B102&lt;&gt;"",COUNTA($B$16:B102),"")</f>
        <v>63</v>
      </c>
      <c r="B102" s="105" t="s">
        <v>73</v>
      </c>
      <c r="C102" s="33" t="s">
        <v>65</v>
      </c>
      <c r="D102" s="98">
        <v>18</v>
      </c>
      <c r="E102" s="98"/>
      <c r="F102" s="33" t="s">
        <v>54</v>
      </c>
      <c r="G102" s="33" t="s">
        <v>116</v>
      </c>
      <c r="H102" s="79" t="s">
        <v>78</v>
      </c>
      <c r="I102" s="79" t="s">
        <v>78</v>
      </c>
      <c r="J102" s="39" t="s">
        <v>46</v>
      </c>
      <c r="K102" s="34">
        <v>41.5</v>
      </c>
      <c r="L102" s="35" t="str">
        <f t="shared" ref="L102" si="138">IF(K102&lt;&gt;"","X","")</f>
        <v>X</v>
      </c>
      <c r="M102" s="35">
        <v>8.75</v>
      </c>
      <c r="N102" s="35" t="str">
        <f t="shared" ref="N102" si="139">IF(M102&lt;&gt;"","X","")</f>
        <v>X</v>
      </c>
      <c r="O102" s="36">
        <v>0.75</v>
      </c>
      <c r="P102" s="186">
        <v>4</v>
      </c>
      <c r="Q102" s="172">
        <v>4</v>
      </c>
      <c r="R102" s="172">
        <v>4</v>
      </c>
      <c r="S102" s="172">
        <v>3</v>
      </c>
      <c r="T102" s="172">
        <v>1</v>
      </c>
      <c r="U102" s="71">
        <f>SUM(P102:T102)</f>
        <v>16</v>
      </c>
      <c r="V102" s="50">
        <f>K102*M102/144</f>
        <v>2.5217013888888888</v>
      </c>
      <c r="W102" s="50">
        <f t="shared" ref="W102" si="140">V102*U102</f>
        <v>40.347222222222221</v>
      </c>
      <c r="X102" s="81">
        <f>K102*M102/144</f>
        <v>2.5217013888888888</v>
      </c>
      <c r="Y102" s="50">
        <f t="shared" ref="Y102" si="141">X102*U102</f>
        <v>40.347222222222221</v>
      </c>
      <c r="Z102" s="50">
        <f t="shared" ref="Z102" si="142">V102*0.09290304</f>
        <v>0.23427372500000002</v>
      </c>
      <c r="AA102" s="50">
        <f t="shared" ref="AA102" si="143">Z102*U102</f>
        <v>3.7483796000000003</v>
      </c>
      <c r="AB102" s="64">
        <v>3.13</v>
      </c>
      <c r="AC102" s="64"/>
      <c r="AD102" s="64"/>
      <c r="AE102" s="64"/>
      <c r="AF102" s="77">
        <f>SUM(AG102:AG102)</f>
        <v>7.8929253472222216</v>
      </c>
      <c r="AG102" s="64">
        <f>K102*M102/144*AB102+(SUM(AC102:AE102))</f>
        <v>7.8929253472222216</v>
      </c>
      <c r="AH102" s="42">
        <f t="shared" si="98"/>
        <v>126.28680555555555</v>
      </c>
    </row>
    <row r="103" spans="1:34" ht="22.5" customHeight="1">
      <c r="A103" s="88" t="str">
        <f>IF(B103&lt;&gt;"",COUNTA($B$16:B103),"")</f>
        <v/>
      </c>
      <c r="B103" s="104"/>
      <c r="C103" s="33"/>
      <c r="D103" s="99"/>
      <c r="E103" s="98"/>
      <c r="F103" s="78"/>
      <c r="G103" s="33"/>
      <c r="H103" s="37"/>
      <c r="I103" s="37"/>
      <c r="J103" s="33"/>
      <c r="K103" s="38"/>
      <c r="L103" s="80"/>
      <c r="M103" s="38"/>
      <c r="N103" s="35"/>
      <c r="O103" s="36"/>
      <c r="P103" s="186"/>
      <c r="Q103" s="172"/>
      <c r="R103" s="172"/>
      <c r="S103" s="172"/>
      <c r="T103" s="172"/>
      <c r="U103" s="71"/>
      <c r="V103" s="50"/>
      <c r="W103" s="50"/>
      <c r="X103" s="81"/>
      <c r="Y103" s="50"/>
      <c r="Z103" s="50"/>
      <c r="AA103" s="50"/>
      <c r="AB103" s="64"/>
      <c r="AC103" s="64"/>
      <c r="AD103" s="64"/>
      <c r="AE103" s="64"/>
      <c r="AF103" s="64"/>
      <c r="AG103" s="64"/>
      <c r="AH103" s="42" t="str">
        <f t="shared" si="98"/>
        <v/>
      </c>
    </row>
    <row r="104" spans="1:34" ht="22.5" customHeight="1">
      <c r="A104" s="89">
        <f>IF(B104&lt;&gt;"",COUNTA($B$16:B104),"")</f>
        <v>64</v>
      </c>
      <c r="B104" s="105" t="s">
        <v>74</v>
      </c>
      <c r="C104" s="33" t="s">
        <v>65</v>
      </c>
      <c r="D104" s="98">
        <v>23</v>
      </c>
      <c r="E104" s="98"/>
      <c r="F104" s="33" t="s">
        <v>54</v>
      </c>
      <c r="G104" s="33" t="s">
        <v>116</v>
      </c>
      <c r="H104" s="103" t="s">
        <v>61</v>
      </c>
      <c r="I104" s="79" t="s">
        <v>60</v>
      </c>
      <c r="J104" s="39" t="s">
        <v>46</v>
      </c>
      <c r="K104" s="34">
        <v>73.5</v>
      </c>
      <c r="L104" s="35" t="str">
        <f t="shared" ref="L104:L106" si="144">IF(K104&lt;&gt;"","X","")</f>
        <v>X</v>
      </c>
      <c r="M104" s="35">
        <v>22.5</v>
      </c>
      <c r="N104" s="35" t="str">
        <f t="shared" ref="N104:N106" si="145">IF(M104&lt;&gt;"","X","")</f>
        <v>X</v>
      </c>
      <c r="O104" s="36">
        <v>0.75</v>
      </c>
      <c r="P104" s="186">
        <v>1</v>
      </c>
      <c r="Q104" s="172">
        <v>1</v>
      </c>
      <c r="R104" s="172">
        <v>1</v>
      </c>
      <c r="S104" s="172">
        <v>1</v>
      </c>
      <c r="T104" s="172"/>
      <c r="U104" s="71">
        <f>SUM(P104:T104)</f>
        <v>4</v>
      </c>
      <c r="V104" s="50">
        <f>K104*M104/144</f>
        <v>11.484375</v>
      </c>
      <c r="W104" s="50">
        <f t="shared" ref="W104:W106" si="146">V104*U104</f>
        <v>45.9375</v>
      </c>
      <c r="X104" s="81">
        <f>K104*M104/144</f>
        <v>11.484375</v>
      </c>
      <c r="Y104" s="50">
        <f t="shared" ref="Y104:Y106" si="147">X104*U104</f>
        <v>45.9375</v>
      </c>
      <c r="Z104" s="50">
        <f t="shared" ref="Z104:Z106" si="148">V104*0.09290304</f>
        <v>1.06693335</v>
      </c>
      <c r="AA104" s="50">
        <f t="shared" ref="AA104:AA106" si="149">Z104*U104</f>
        <v>4.2677334</v>
      </c>
      <c r="AB104" s="64">
        <v>3.13</v>
      </c>
      <c r="AC104" s="64">
        <v>3</v>
      </c>
      <c r="AD104" s="64">
        <v>2</v>
      </c>
      <c r="AE104" s="64">
        <v>10</v>
      </c>
      <c r="AF104" s="77">
        <f>SUM(AG104:AG106)</f>
        <v>57.157187499999999</v>
      </c>
      <c r="AG104" s="64">
        <f>K104*M104/144*AB104+(SUM(AC104:AE104))</f>
        <v>50.946093749999996</v>
      </c>
      <c r="AH104" s="42">
        <f t="shared" si="98"/>
        <v>203.78437499999998</v>
      </c>
    </row>
    <row r="105" spans="1:34" ht="22.5" customHeight="1">
      <c r="A105" s="89">
        <f>IF(B105&lt;&gt;"",COUNTA($B$16:B105),"")</f>
        <v>65</v>
      </c>
      <c r="B105" s="105" t="s">
        <v>74</v>
      </c>
      <c r="C105" s="33" t="s">
        <v>65</v>
      </c>
      <c r="D105" s="98">
        <v>23</v>
      </c>
      <c r="E105" s="98"/>
      <c r="F105" s="33" t="s">
        <v>54</v>
      </c>
      <c r="G105" s="33" t="s">
        <v>116</v>
      </c>
      <c r="H105" s="79" t="s">
        <v>55</v>
      </c>
      <c r="I105" s="79" t="s">
        <v>60</v>
      </c>
      <c r="J105" s="39" t="s">
        <v>46</v>
      </c>
      <c r="K105" s="34">
        <f>K104</f>
        <v>73.5</v>
      </c>
      <c r="L105" s="38" t="str">
        <f t="shared" si="144"/>
        <v>X</v>
      </c>
      <c r="M105" s="35">
        <v>3</v>
      </c>
      <c r="N105" s="35" t="str">
        <f t="shared" si="145"/>
        <v>X</v>
      </c>
      <c r="O105" s="36">
        <v>0.75</v>
      </c>
      <c r="P105" s="186">
        <f t="shared" ref="P105:S106" si="150">P104</f>
        <v>1</v>
      </c>
      <c r="Q105" s="172">
        <f t="shared" si="150"/>
        <v>1</v>
      </c>
      <c r="R105" s="172">
        <f t="shared" si="150"/>
        <v>1</v>
      </c>
      <c r="S105" s="172">
        <f t="shared" si="150"/>
        <v>1</v>
      </c>
      <c r="T105" s="172"/>
      <c r="U105" s="71">
        <f>SUM(P105:T105)</f>
        <v>4</v>
      </c>
      <c r="V105" s="50">
        <f>K105*M105/144</f>
        <v>1.53125</v>
      </c>
      <c r="W105" s="50">
        <f t="shared" si="146"/>
        <v>6.125</v>
      </c>
      <c r="X105" s="81">
        <f>K105*M105/144</f>
        <v>1.53125</v>
      </c>
      <c r="Y105" s="50">
        <f t="shared" si="147"/>
        <v>6.125</v>
      </c>
      <c r="Z105" s="50">
        <f t="shared" si="148"/>
        <v>0.14225778</v>
      </c>
      <c r="AA105" s="50">
        <f t="shared" si="149"/>
        <v>0.56903112</v>
      </c>
      <c r="AB105" s="64">
        <v>3.13</v>
      </c>
      <c r="AC105" s="64"/>
      <c r="AD105" s="64"/>
      <c r="AE105" s="64"/>
      <c r="AF105" s="64"/>
      <c r="AG105" s="64">
        <f>K105*M105/144*AB105+(SUM(AC105:AE105))</f>
        <v>4.7928125000000001</v>
      </c>
      <c r="AH105" s="42">
        <f t="shared" si="98"/>
        <v>19.171250000000001</v>
      </c>
    </row>
    <row r="106" spans="1:34" ht="22.5" customHeight="1">
      <c r="A106" s="89">
        <f>IF(B106&lt;&gt;"",COUNTA($B$16:B106),"")</f>
        <v>66</v>
      </c>
      <c r="B106" s="105" t="s">
        <v>74</v>
      </c>
      <c r="C106" s="33" t="s">
        <v>65</v>
      </c>
      <c r="D106" s="98">
        <v>23</v>
      </c>
      <c r="E106" s="98"/>
      <c r="F106" s="33" t="s">
        <v>54</v>
      </c>
      <c r="G106" s="33" t="s">
        <v>116</v>
      </c>
      <c r="H106" s="79" t="s">
        <v>56</v>
      </c>
      <c r="I106" s="79" t="s">
        <v>60</v>
      </c>
      <c r="J106" s="39" t="s">
        <v>46</v>
      </c>
      <c r="K106" s="34">
        <f>M104-0.75</f>
        <v>21.75</v>
      </c>
      <c r="L106" s="38" t="str">
        <f t="shared" si="144"/>
        <v>X</v>
      </c>
      <c r="M106" s="35">
        <v>3</v>
      </c>
      <c r="N106" s="35" t="str">
        <f t="shared" si="145"/>
        <v>X</v>
      </c>
      <c r="O106" s="36">
        <v>0.75</v>
      </c>
      <c r="P106" s="186">
        <f t="shared" si="150"/>
        <v>1</v>
      </c>
      <c r="Q106" s="172">
        <f t="shared" si="150"/>
        <v>1</v>
      </c>
      <c r="R106" s="172">
        <f t="shared" si="150"/>
        <v>1</v>
      </c>
      <c r="S106" s="172">
        <f t="shared" si="150"/>
        <v>1</v>
      </c>
      <c r="T106" s="172"/>
      <c r="U106" s="71">
        <f>SUM(P106:T106)</f>
        <v>4</v>
      </c>
      <c r="V106" s="50">
        <f>K106*M106/144</f>
        <v>0.453125</v>
      </c>
      <c r="W106" s="50">
        <f t="shared" si="146"/>
        <v>1.8125</v>
      </c>
      <c r="X106" s="81">
        <f>K106*M106/144</f>
        <v>0.453125</v>
      </c>
      <c r="Y106" s="50">
        <f t="shared" si="147"/>
        <v>1.8125</v>
      </c>
      <c r="Z106" s="50">
        <f t="shared" si="148"/>
        <v>4.2096690000000006E-2</v>
      </c>
      <c r="AA106" s="50">
        <f t="shared" si="149"/>
        <v>0.16838676000000002</v>
      </c>
      <c r="AB106" s="64">
        <v>3.13</v>
      </c>
      <c r="AC106" s="64"/>
      <c r="AD106" s="64"/>
      <c r="AE106" s="64"/>
      <c r="AF106" s="64"/>
      <c r="AG106" s="64">
        <f>K106*M106/144*AB106+(SUM(AC106:AE106))</f>
        <v>1.4182812499999999</v>
      </c>
      <c r="AH106" s="42">
        <f t="shared" si="98"/>
        <v>5.6731249999999998</v>
      </c>
    </row>
    <row r="107" spans="1:34" ht="22.5" customHeight="1">
      <c r="A107" s="88" t="str">
        <f>IF(B107&lt;&gt;"",COUNTA($B$16:B107),"")</f>
        <v/>
      </c>
      <c r="B107" s="104"/>
      <c r="C107" s="33"/>
      <c r="D107" s="98"/>
      <c r="E107" s="98"/>
      <c r="F107" s="78"/>
      <c r="G107" s="33"/>
      <c r="H107" s="37"/>
      <c r="I107" s="37"/>
      <c r="J107" s="33"/>
      <c r="K107" s="38"/>
      <c r="L107" s="80"/>
      <c r="M107" s="38"/>
      <c r="N107" s="35"/>
      <c r="O107" s="36"/>
      <c r="P107" s="186"/>
      <c r="Q107" s="172"/>
      <c r="R107" s="172"/>
      <c r="S107" s="172"/>
      <c r="T107" s="172"/>
      <c r="U107" s="71"/>
      <c r="V107" s="50"/>
      <c r="W107" s="50"/>
      <c r="X107" s="81"/>
      <c r="Y107" s="50"/>
      <c r="Z107" s="50"/>
      <c r="AA107" s="50"/>
      <c r="AB107" s="64"/>
      <c r="AC107" s="64"/>
      <c r="AD107" s="64"/>
      <c r="AE107" s="64"/>
      <c r="AF107" s="64"/>
      <c r="AG107" s="64"/>
      <c r="AH107" s="42" t="str">
        <f t="shared" si="98"/>
        <v/>
      </c>
    </row>
    <row r="108" spans="1:34" ht="22.5" customHeight="1">
      <c r="A108" s="89">
        <f>IF(B108&lt;&gt;"",COUNTA($B$16:B108),"")</f>
        <v>67</v>
      </c>
      <c r="B108" s="105" t="s">
        <v>74</v>
      </c>
      <c r="C108" s="33" t="s">
        <v>65</v>
      </c>
      <c r="D108" s="98">
        <v>24</v>
      </c>
      <c r="E108" s="98"/>
      <c r="F108" s="33" t="s">
        <v>54</v>
      </c>
      <c r="G108" s="33" t="s">
        <v>116</v>
      </c>
      <c r="H108" s="79" t="s">
        <v>61</v>
      </c>
      <c r="I108" s="79" t="s">
        <v>60</v>
      </c>
      <c r="J108" s="39" t="s">
        <v>46</v>
      </c>
      <c r="K108" s="34">
        <v>66.5</v>
      </c>
      <c r="L108" s="35" t="str">
        <f t="shared" ref="L108:L110" si="151">IF(K108&lt;&gt;"","X","")</f>
        <v>X</v>
      </c>
      <c r="M108" s="35">
        <v>22.5</v>
      </c>
      <c r="N108" s="35" t="str">
        <f t="shared" ref="N108:N110" si="152">IF(M108&lt;&gt;"","X","")</f>
        <v>X</v>
      </c>
      <c r="O108" s="36">
        <v>0.75</v>
      </c>
      <c r="P108" s="186">
        <v>1</v>
      </c>
      <c r="Q108" s="172">
        <v>1</v>
      </c>
      <c r="R108" s="172">
        <v>1</v>
      </c>
      <c r="S108" s="172">
        <v>1</v>
      </c>
      <c r="T108" s="172"/>
      <c r="U108" s="71">
        <f>SUM(P108:T108)</f>
        <v>4</v>
      </c>
      <c r="V108" s="50">
        <f>K108*M108/144</f>
        <v>10.390625</v>
      </c>
      <c r="W108" s="50">
        <f t="shared" ref="W108:W110" si="153">V108*U108</f>
        <v>41.5625</v>
      </c>
      <c r="X108" s="81">
        <f>K108*M108/144</f>
        <v>10.390625</v>
      </c>
      <c r="Y108" s="50">
        <f t="shared" ref="Y108:Y110" si="154">X108*U108</f>
        <v>41.5625</v>
      </c>
      <c r="Z108" s="50">
        <f t="shared" ref="Z108:Z110" si="155">V108*0.09290304</f>
        <v>0.96532065000000011</v>
      </c>
      <c r="AA108" s="50">
        <f t="shared" ref="AA108:AA110" si="156">Z108*U108</f>
        <v>3.8612826000000005</v>
      </c>
      <c r="AB108" s="64">
        <v>3.13</v>
      </c>
      <c r="AC108" s="64"/>
      <c r="AD108" s="64">
        <v>1</v>
      </c>
      <c r="AE108" s="64"/>
      <c r="AF108" s="77">
        <f>SUM(AG108:AG110)</f>
        <v>39.277291666666663</v>
      </c>
      <c r="AG108" s="64">
        <f>K108*M108/144*AB108+(SUM(AC108:AE108))</f>
        <v>33.522656249999997</v>
      </c>
      <c r="AH108" s="42">
        <f t="shared" si="98"/>
        <v>134.09062499999999</v>
      </c>
    </row>
    <row r="109" spans="1:34" ht="22.5" customHeight="1">
      <c r="A109" s="89">
        <f>IF(B109&lt;&gt;"",COUNTA($B$16:B109),"")</f>
        <v>68</v>
      </c>
      <c r="B109" s="105" t="s">
        <v>74</v>
      </c>
      <c r="C109" s="33" t="s">
        <v>65</v>
      </c>
      <c r="D109" s="98">
        <v>24</v>
      </c>
      <c r="E109" s="98"/>
      <c r="F109" s="33" t="s">
        <v>54</v>
      </c>
      <c r="G109" s="33" t="s">
        <v>116</v>
      </c>
      <c r="H109" s="79" t="s">
        <v>55</v>
      </c>
      <c r="I109" s="79" t="s">
        <v>60</v>
      </c>
      <c r="J109" s="39" t="s">
        <v>46</v>
      </c>
      <c r="K109" s="34">
        <f>K108</f>
        <v>66.5</v>
      </c>
      <c r="L109" s="38" t="str">
        <f t="shared" si="151"/>
        <v>X</v>
      </c>
      <c r="M109" s="35">
        <v>3</v>
      </c>
      <c r="N109" s="35" t="str">
        <f t="shared" si="152"/>
        <v>X</v>
      </c>
      <c r="O109" s="36">
        <v>0.75</v>
      </c>
      <c r="P109" s="186">
        <f t="shared" ref="P109:S110" si="157">P108</f>
        <v>1</v>
      </c>
      <c r="Q109" s="172">
        <f t="shared" si="157"/>
        <v>1</v>
      </c>
      <c r="R109" s="172">
        <f t="shared" si="157"/>
        <v>1</v>
      </c>
      <c r="S109" s="172">
        <f t="shared" si="157"/>
        <v>1</v>
      </c>
      <c r="T109" s="172"/>
      <c r="U109" s="71">
        <f>SUM(P109:T109)</f>
        <v>4</v>
      </c>
      <c r="V109" s="50">
        <f>K109*M109/144</f>
        <v>1.3854166666666667</v>
      </c>
      <c r="W109" s="50">
        <f t="shared" si="153"/>
        <v>5.541666666666667</v>
      </c>
      <c r="X109" s="81">
        <f>K109*M109/144</f>
        <v>1.3854166666666667</v>
      </c>
      <c r="Y109" s="50">
        <f t="shared" si="154"/>
        <v>5.541666666666667</v>
      </c>
      <c r="Z109" s="50">
        <f t="shared" si="155"/>
        <v>0.12870942000000002</v>
      </c>
      <c r="AA109" s="50">
        <f t="shared" si="156"/>
        <v>0.51483768000000008</v>
      </c>
      <c r="AB109" s="64">
        <v>3.13</v>
      </c>
      <c r="AC109" s="64"/>
      <c r="AD109" s="64"/>
      <c r="AE109" s="64"/>
      <c r="AF109" s="64"/>
      <c r="AG109" s="64">
        <f>K109*M109/144*AB109+(SUM(AC109:AE109))</f>
        <v>4.3363541666666672</v>
      </c>
      <c r="AH109" s="42">
        <f t="shared" si="98"/>
        <v>17.345416666666669</v>
      </c>
    </row>
    <row r="110" spans="1:34" ht="22.5" customHeight="1">
      <c r="A110" s="89">
        <f>IF(B110&lt;&gt;"",COUNTA($B$16:B110),"")</f>
        <v>69</v>
      </c>
      <c r="B110" s="105" t="s">
        <v>74</v>
      </c>
      <c r="C110" s="33" t="s">
        <v>65</v>
      </c>
      <c r="D110" s="98">
        <v>24</v>
      </c>
      <c r="E110" s="98"/>
      <c r="F110" s="33" t="s">
        <v>54</v>
      </c>
      <c r="G110" s="33" t="s">
        <v>116</v>
      </c>
      <c r="H110" s="79" t="s">
        <v>56</v>
      </c>
      <c r="I110" s="79" t="s">
        <v>60</v>
      </c>
      <c r="J110" s="39" t="s">
        <v>46</v>
      </c>
      <c r="K110" s="34">
        <f>M108-0.75</f>
        <v>21.75</v>
      </c>
      <c r="L110" s="38" t="str">
        <f t="shared" si="151"/>
        <v>X</v>
      </c>
      <c r="M110" s="35">
        <v>3</v>
      </c>
      <c r="N110" s="35" t="str">
        <f t="shared" si="152"/>
        <v>X</v>
      </c>
      <c r="O110" s="36">
        <v>0.75</v>
      </c>
      <c r="P110" s="186">
        <f t="shared" si="157"/>
        <v>1</v>
      </c>
      <c r="Q110" s="172">
        <f t="shared" si="157"/>
        <v>1</v>
      </c>
      <c r="R110" s="172">
        <f t="shared" si="157"/>
        <v>1</v>
      </c>
      <c r="S110" s="172">
        <f t="shared" si="157"/>
        <v>1</v>
      </c>
      <c r="T110" s="172"/>
      <c r="U110" s="71">
        <f>SUM(P110:T110)</f>
        <v>4</v>
      </c>
      <c r="V110" s="50">
        <f>K110*M110/144</f>
        <v>0.453125</v>
      </c>
      <c r="W110" s="50">
        <f t="shared" si="153"/>
        <v>1.8125</v>
      </c>
      <c r="X110" s="81">
        <f>K110*M110/144</f>
        <v>0.453125</v>
      </c>
      <c r="Y110" s="50">
        <f t="shared" si="154"/>
        <v>1.8125</v>
      </c>
      <c r="Z110" s="50">
        <f t="shared" si="155"/>
        <v>4.2096690000000006E-2</v>
      </c>
      <c r="AA110" s="50">
        <f t="shared" si="156"/>
        <v>0.16838676000000002</v>
      </c>
      <c r="AB110" s="64">
        <v>3.13</v>
      </c>
      <c r="AC110" s="64"/>
      <c r="AD110" s="64"/>
      <c r="AE110" s="64"/>
      <c r="AF110" s="64"/>
      <c r="AG110" s="64">
        <f>K110*M110/144*AB110+(SUM(AC110:AE110))</f>
        <v>1.4182812499999999</v>
      </c>
      <c r="AH110" s="42">
        <f t="shared" si="98"/>
        <v>5.6731249999999998</v>
      </c>
    </row>
    <row r="111" spans="1:34" ht="22.5" customHeight="1">
      <c r="A111" s="88" t="str">
        <f>IF(B111&lt;&gt;"",COUNTA($B$16:B111),"")</f>
        <v/>
      </c>
      <c r="B111" s="104"/>
      <c r="C111" s="33"/>
      <c r="D111" s="99"/>
      <c r="E111" s="98"/>
      <c r="F111" s="78"/>
      <c r="G111" s="33"/>
      <c r="H111" s="37"/>
      <c r="I111" s="37"/>
      <c r="J111" s="33"/>
      <c r="K111" s="38"/>
      <c r="L111" s="80"/>
      <c r="M111" s="38"/>
      <c r="N111" s="35"/>
      <c r="O111" s="36"/>
      <c r="P111" s="186"/>
      <c r="Q111" s="172"/>
      <c r="R111" s="172"/>
      <c r="S111" s="172"/>
      <c r="T111" s="172"/>
      <c r="U111" s="71"/>
      <c r="V111" s="50"/>
      <c r="W111" s="50"/>
      <c r="X111" s="81"/>
      <c r="Y111" s="50"/>
      <c r="Z111" s="50"/>
      <c r="AA111" s="50"/>
      <c r="AB111" s="64"/>
      <c r="AC111" s="64"/>
      <c r="AD111" s="64"/>
      <c r="AE111" s="64"/>
      <c r="AF111" s="64"/>
      <c r="AG111" s="64"/>
      <c r="AH111" s="42" t="str">
        <f t="shared" si="98"/>
        <v/>
      </c>
    </row>
    <row r="112" spans="1:34" ht="22.5" customHeight="1">
      <c r="A112" s="89">
        <f>IF(B112&lt;&gt;"",COUNTA($B$16:B112),"")</f>
        <v>70</v>
      </c>
      <c r="B112" s="105" t="s">
        <v>75</v>
      </c>
      <c r="C112" s="33" t="s">
        <v>65</v>
      </c>
      <c r="D112" s="98">
        <v>30</v>
      </c>
      <c r="E112" s="98"/>
      <c r="F112" s="33" t="s">
        <v>54</v>
      </c>
      <c r="G112" s="33" t="s">
        <v>116</v>
      </c>
      <c r="H112" s="103" t="s">
        <v>61</v>
      </c>
      <c r="I112" s="79" t="s">
        <v>60</v>
      </c>
      <c r="J112" s="39" t="s">
        <v>46</v>
      </c>
      <c r="K112" s="34">
        <v>79.5</v>
      </c>
      <c r="L112" s="35" t="str">
        <f t="shared" ref="L112:L114" si="158">IF(K112&lt;&gt;"","X","")</f>
        <v>X</v>
      </c>
      <c r="M112" s="35">
        <v>22.5</v>
      </c>
      <c r="N112" s="35" t="str">
        <f t="shared" ref="N112:N114" si="159">IF(M112&lt;&gt;"","X","")</f>
        <v>X</v>
      </c>
      <c r="O112" s="36">
        <v>0.75</v>
      </c>
      <c r="P112" s="186">
        <v>2</v>
      </c>
      <c r="Q112" s="172">
        <v>2</v>
      </c>
      <c r="R112" s="172">
        <v>2</v>
      </c>
      <c r="S112" s="172">
        <v>1</v>
      </c>
      <c r="T112" s="172">
        <v>1</v>
      </c>
      <c r="U112" s="71">
        <f>SUM(P112:T112)</f>
        <v>8</v>
      </c>
      <c r="V112" s="50">
        <f>K112*M112/144</f>
        <v>12.421875</v>
      </c>
      <c r="W112" s="50">
        <f t="shared" ref="W112:W114" si="160">V112*U112</f>
        <v>99.375</v>
      </c>
      <c r="X112" s="81">
        <f>K112*M112/144</f>
        <v>12.421875</v>
      </c>
      <c r="Y112" s="50">
        <f t="shared" ref="Y112:Y114" si="161">X112*U112</f>
        <v>99.375</v>
      </c>
      <c r="Z112" s="50">
        <f t="shared" ref="Z112:Z114" si="162">V112*0.09290304</f>
        <v>1.15402995</v>
      </c>
      <c r="AA112" s="50">
        <f t="shared" ref="AA112:AA114" si="163">Z112*U112</f>
        <v>9.2322395999999998</v>
      </c>
      <c r="AB112" s="64">
        <v>3.13</v>
      </c>
      <c r="AC112" s="64">
        <v>3</v>
      </c>
      <c r="AD112" s="64">
        <v>2</v>
      </c>
      <c r="AE112" s="64">
        <v>10</v>
      </c>
      <c r="AF112" s="77">
        <f>SUM(AG112:AG114)</f>
        <v>60.482812500000001</v>
      </c>
      <c r="AG112" s="64">
        <f>K112*M112/144*AB112+(SUM(AC112:AE112))</f>
        <v>53.880468749999999</v>
      </c>
      <c r="AH112" s="42">
        <f t="shared" si="98"/>
        <v>431.04374999999999</v>
      </c>
    </row>
    <row r="113" spans="1:34" ht="22.5" customHeight="1">
      <c r="A113" s="89">
        <f>IF(B113&lt;&gt;"",COUNTA($B$16:B113),"")</f>
        <v>71</v>
      </c>
      <c r="B113" s="105" t="s">
        <v>75</v>
      </c>
      <c r="C113" s="33" t="s">
        <v>65</v>
      </c>
      <c r="D113" s="98">
        <v>30</v>
      </c>
      <c r="E113" s="98"/>
      <c r="F113" s="33" t="s">
        <v>54</v>
      </c>
      <c r="G113" s="33" t="s">
        <v>116</v>
      </c>
      <c r="H113" s="79" t="s">
        <v>55</v>
      </c>
      <c r="I113" s="79" t="s">
        <v>60</v>
      </c>
      <c r="J113" s="39" t="s">
        <v>46</v>
      </c>
      <c r="K113" s="34">
        <f>K112</f>
        <v>79.5</v>
      </c>
      <c r="L113" s="38" t="str">
        <f t="shared" si="158"/>
        <v>X</v>
      </c>
      <c r="M113" s="35">
        <v>3</v>
      </c>
      <c r="N113" s="35" t="str">
        <f t="shared" si="159"/>
        <v>X</v>
      </c>
      <c r="O113" s="36">
        <v>0.75</v>
      </c>
      <c r="P113" s="186">
        <f>P112</f>
        <v>2</v>
      </c>
      <c r="Q113" s="172">
        <f>Q112</f>
        <v>2</v>
      </c>
      <c r="R113" s="172">
        <f>R112</f>
        <v>2</v>
      </c>
      <c r="S113" s="172">
        <f>S112</f>
        <v>1</v>
      </c>
      <c r="T113" s="172">
        <f t="shared" ref="T113:T114" si="164">T112</f>
        <v>1</v>
      </c>
      <c r="U113" s="71">
        <f>SUM(P113:T113)</f>
        <v>8</v>
      </c>
      <c r="V113" s="50">
        <f>K113*M113/144</f>
        <v>1.65625</v>
      </c>
      <c r="W113" s="50">
        <f t="shared" si="160"/>
        <v>13.25</v>
      </c>
      <c r="X113" s="81">
        <f>K113*M113/144</f>
        <v>1.65625</v>
      </c>
      <c r="Y113" s="50">
        <f t="shared" si="161"/>
        <v>13.25</v>
      </c>
      <c r="Z113" s="50">
        <f t="shared" si="162"/>
        <v>0.15387066000000002</v>
      </c>
      <c r="AA113" s="50">
        <f t="shared" si="163"/>
        <v>1.2309652800000002</v>
      </c>
      <c r="AB113" s="64">
        <v>3.13</v>
      </c>
      <c r="AC113" s="64"/>
      <c r="AD113" s="64"/>
      <c r="AE113" s="64"/>
      <c r="AF113" s="64"/>
      <c r="AG113" s="64">
        <f>K113*M113/144*AB113+(SUM(AC113:AE113))</f>
        <v>5.1840624999999996</v>
      </c>
      <c r="AH113" s="42">
        <f t="shared" si="98"/>
        <v>41.472499999999997</v>
      </c>
    </row>
    <row r="114" spans="1:34" ht="22.5" customHeight="1">
      <c r="A114" s="89">
        <f>IF(B114&lt;&gt;"",COUNTA($B$16:B114),"")</f>
        <v>72</v>
      </c>
      <c r="B114" s="105" t="s">
        <v>75</v>
      </c>
      <c r="C114" s="33" t="s">
        <v>65</v>
      </c>
      <c r="D114" s="98">
        <v>30</v>
      </c>
      <c r="E114" s="98"/>
      <c r="F114" s="33" t="s">
        <v>54</v>
      </c>
      <c r="G114" s="33" t="s">
        <v>116</v>
      </c>
      <c r="H114" s="79" t="s">
        <v>56</v>
      </c>
      <c r="I114" s="79" t="s">
        <v>60</v>
      </c>
      <c r="J114" s="39" t="s">
        <v>46</v>
      </c>
      <c r="K114" s="34">
        <f>M112-0.75</f>
        <v>21.75</v>
      </c>
      <c r="L114" s="38" t="str">
        <f t="shared" si="158"/>
        <v>X</v>
      </c>
      <c r="M114" s="35">
        <v>3</v>
      </c>
      <c r="N114" s="35" t="str">
        <f t="shared" si="159"/>
        <v>X</v>
      </c>
      <c r="O114" s="36">
        <v>0.75</v>
      </c>
      <c r="P114" s="186">
        <f t="shared" ref="P114:S114" si="165">P113</f>
        <v>2</v>
      </c>
      <c r="Q114" s="172">
        <f t="shared" si="165"/>
        <v>2</v>
      </c>
      <c r="R114" s="172">
        <f t="shared" si="165"/>
        <v>2</v>
      </c>
      <c r="S114" s="172">
        <f t="shared" si="165"/>
        <v>1</v>
      </c>
      <c r="T114" s="172">
        <f t="shared" si="164"/>
        <v>1</v>
      </c>
      <c r="U114" s="71">
        <f>SUM(P114:T114)</f>
        <v>8</v>
      </c>
      <c r="V114" s="50">
        <f>K114*M114/144</f>
        <v>0.453125</v>
      </c>
      <c r="W114" s="50">
        <f t="shared" si="160"/>
        <v>3.625</v>
      </c>
      <c r="X114" s="81">
        <f>K114*M114/144</f>
        <v>0.453125</v>
      </c>
      <c r="Y114" s="50">
        <f t="shared" si="161"/>
        <v>3.625</v>
      </c>
      <c r="Z114" s="50">
        <f t="shared" si="162"/>
        <v>4.2096690000000006E-2</v>
      </c>
      <c r="AA114" s="50">
        <f t="shared" si="163"/>
        <v>0.33677352000000005</v>
      </c>
      <c r="AB114" s="64">
        <v>3.13</v>
      </c>
      <c r="AC114" s="64"/>
      <c r="AD114" s="64"/>
      <c r="AE114" s="64"/>
      <c r="AF114" s="64"/>
      <c r="AG114" s="64">
        <f>K114*M114/144*AB114+(SUM(AC114:AE114))</f>
        <v>1.4182812499999999</v>
      </c>
      <c r="AH114" s="42">
        <f t="shared" si="98"/>
        <v>11.34625</v>
      </c>
    </row>
    <row r="115" spans="1:34" ht="22.5" customHeight="1">
      <c r="A115" s="88" t="str">
        <f>IF(B115&lt;&gt;"",COUNTA($B$16:B115),"")</f>
        <v/>
      </c>
      <c r="B115" s="104"/>
      <c r="C115" s="33"/>
      <c r="D115" s="99"/>
      <c r="E115" s="98"/>
      <c r="F115" s="78"/>
      <c r="G115" s="33"/>
      <c r="H115" s="37"/>
      <c r="I115" s="37"/>
      <c r="J115" s="33"/>
      <c r="K115" s="38"/>
      <c r="L115" s="80"/>
      <c r="M115" s="38"/>
      <c r="N115" s="35"/>
      <c r="O115" s="36"/>
      <c r="P115" s="186"/>
      <c r="Q115" s="172"/>
      <c r="R115" s="172"/>
      <c r="S115" s="172"/>
      <c r="T115" s="172"/>
      <c r="U115" s="71"/>
      <c r="V115" s="50"/>
      <c r="W115" s="50"/>
      <c r="X115" s="81"/>
      <c r="Y115" s="50"/>
      <c r="Z115" s="50"/>
      <c r="AA115" s="50"/>
      <c r="AB115" s="64"/>
      <c r="AC115" s="64"/>
      <c r="AD115" s="64"/>
      <c r="AE115" s="64"/>
      <c r="AF115" s="64"/>
      <c r="AG115" s="64"/>
      <c r="AH115" s="42" t="str">
        <f t="shared" si="98"/>
        <v/>
      </c>
    </row>
    <row r="116" spans="1:34" ht="22.5" customHeight="1">
      <c r="A116" s="89">
        <f>IF(B116&lt;&gt;"",COUNTA($B$16:B116),"")</f>
        <v>73</v>
      </c>
      <c r="B116" s="105" t="s">
        <v>75</v>
      </c>
      <c r="C116" s="33" t="s">
        <v>65</v>
      </c>
      <c r="D116" s="98">
        <v>31</v>
      </c>
      <c r="E116" s="98"/>
      <c r="F116" s="33" t="s">
        <v>54</v>
      </c>
      <c r="G116" s="33" t="s">
        <v>116</v>
      </c>
      <c r="H116" s="79" t="s">
        <v>61</v>
      </c>
      <c r="I116" s="79" t="s">
        <v>60</v>
      </c>
      <c r="J116" s="39" t="s">
        <v>46</v>
      </c>
      <c r="K116" s="34">
        <v>51.5</v>
      </c>
      <c r="L116" s="35" t="str">
        <f t="shared" ref="L116:L117" si="166">IF(K116&lt;&gt;"","X","")</f>
        <v>X</v>
      </c>
      <c r="M116" s="35">
        <v>22.5</v>
      </c>
      <c r="N116" s="35" t="str">
        <f t="shared" ref="N116:N117" si="167">IF(M116&lt;&gt;"","X","")</f>
        <v>X</v>
      </c>
      <c r="O116" s="36">
        <v>0.75</v>
      </c>
      <c r="P116" s="186">
        <v>2</v>
      </c>
      <c r="Q116" s="172">
        <v>2</v>
      </c>
      <c r="R116" s="172">
        <v>2</v>
      </c>
      <c r="S116" s="172">
        <v>1</v>
      </c>
      <c r="T116" s="172">
        <v>1</v>
      </c>
      <c r="U116" s="71">
        <f>SUM(P116:T116)</f>
        <v>8</v>
      </c>
      <c r="V116" s="50">
        <f>K116*M116/144</f>
        <v>8.046875</v>
      </c>
      <c r="W116" s="50">
        <f t="shared" ref="W116:W117" si="168">V116*U116</f>
        <v>64.375</v>
      </c>
      <c r="X116" s="81">
        <f>K116*M116/144</f>
        <v>8.046875</v>
      </c>
      <c r="Y116" s="50">
        <f t="shared" ref="Y116:Y117" si="169">X116*U116</f>
        <v>64.375</v>
      </c>
      <c r="Z116" s="50">
        <f t="shared" ref="Z116:Z117" si="170">V116*0.09290304</f>
        <v>0.74757915000000008</v>
      </c>
      <c r="AA116" s="50">
        <f t="shared" ref="AA116:AA117" si="171">Z116*U116</f>
        <v>5.9806332000000006</v>
      </c>
      <c r="AB116" s="64">
        <v>3.13</v>
      </c>
      <c r="AC116" s="64"/>
      <c r="AD116" s="64">
        <v>1</v>
      </c>
      <c r="AE116" s="64"/>
      <c r="AF116" s="77">
        <f>SUM(AG116:AG117)</f>
        <v>29.544947916666668</v>
      </c>
      <c r="AG116" s="64">
        <f>K116*M116/144*AB116+(SUM(AC116:AE116))</f>
        <v>26.186718750000001</v>
      </c>
      <c r="AH116" s="42">
        <f t="shared" si="98"/>
        <v>209.49375000000001</v>
      </c>
    </row>
    <row r="117" spans="1:34" ht="22.5" customHeight="1">
      <c r="A117" s="89">
        <f>IF(B117&lt;&gt;"",COUNTA($B$16:B117),"")</f>
        <v>74</v>
      </c>
      <c r="B117" s="105" t="s">
        <v>75</v>
      </c>
      <c r="C117" s="33" t="s">
        <v>65</v>
      </c>
      <c r="D117" s="98">
        <v>31</v>
      </c>
      <c r="E117" s="98"/>
      <c r="F117" s="33" t="s">
        <v>54</v>
      </c>
      <c r="G117" s="33" t="s">
        <v>116</v>
      </c>
      <c r="H117" s="79" t="s">
        <v>55</v>
      </c>
      <c r="I117" s="79" t="s">
        <v>60</v>
      </c>
      <c r="J117" s="39" t="s">
        <v>46</v>
      </c>
      <c r="K117" s="34">
        <f>K116</f>
        <v>51.5</v>
      </c>
      <c r="L117" s="38" t="str">
        <f t="shared" si="166"/>
        <v>X</v>
      </c>
      <c r="M117" s="35">
        <v>3</v>
      </c>
      <c r="N117" s="35" t="str">
        <f t="shared" si="167"/>
        <v>X</v>
      </c>
      <c r="O117" s="36">
        <v>0.75</v>
      </c>
      <c r="P117" s="186">
        <f>P116</f>
        <v>2</v>
      </c>
      <c r="Q117" s="172">
        <f>Q116</f>
        <v>2</v>
      </c>
      <c r="R117" s="172">
        <f>R116</f>
        <v>2</v>
      </c>
      <c r="S117" s="172">
        <f>S116</f>
        <v>1</v>
      </c>
      <c r="T117" s="172">
        <f t="shared" ref="T117" si="172">T116</f>
        <v>1</v>
      </c>
      <c r="U117" s="71">
        <f>SUM(P117:T117)</f>
        <v>8</v>
      </c>
      <c r="V117" s="50">
        <f>K117*M117/144</f>
        <v>1.0729166666666667</v>
      </c>
      <c r="W117" s="50">
        <f t="shared" si="168"/>
        <v>8.5833333333333339</v>
      </c>
      <c r="X117" s="81">
        <f>K117*M117/144</f>
        <v>1.0729166666666667</v>
      </c>
      <c r="Y117" s="50">
        <f t="shared" si="169"/>
        <v>8.5833333333333339</v>
      </c>
      <c r="Z117" s="50">
        <f t="shared" si="170"/>
        <v>9.9677220000000011E-2</v>
      </c>
      <c r="AA117" s="50">
        <f t="shared" si="171"/>
        <v>0.79741776000000009</v>
      </c>
      <c r="AB117" s="64">
        <v>3.13</v>
      </c>
      <c r="AC117" s="64"/>
      <c r="AD117" s="64"/>
      <c r="AE117" s="64"/>
      <c r="AF117" s="64"/>
      <c r="AG117" s="64">
        <f>K117*M117/144*AB117+(SUM(AC117:AE117))</f>
        <v>3.3582291666666668</v>
      </c>
      <c r="AH117" s="42">
        <f t="shared" si="98"/>
        <v>26.865833333333335</v>
      </c>
    </row>
    <row r="118" spans="1:34" ht="22.5" customHeight="1">
      <c r="A118" s="88" t="str">
        <f>IF(B118&lt;&gt;"",COUNTA($B$16:B118),"")</f>
        <v/>
      </c>
      <c r="B118" s="104"/>
      <c r="C118" s="33"/>
      <c r="D118" s="99"/>
      <c r="E118" s="98"/>
      <c r="F118" s="78"/>
      <c r="G118" s="33"/>
      <c r="H118" s="37"/>
      <c r="I118" s="37"/>
      <c r="J118" s="33"/>
      <c r="K118" s="38"/>
      <c r="L118" s="80"/>
      <c r="M118" s="38"/>
      <c r="N118" s="35"/>
      <c r="O118" s="36"/>
      <c r="P118" s="186"/>
      <c r="Q118" s="172"/>
      <c r="R118" s="172"/>
      <c r="S118" s="172"/>
      <c r="T118" s="172"/>
      <c r="U118" s="71"/>
      <c r="V118" s="50"/>
      <c r="W118" s="50"/>
      <c r="X118" s="81"/>
      <c r="Y118" s="50"/>
      <c r="Z118" s="50"/>
      <c r="AA118" s="50"/>
      <c r="AB118" s="64"/>
      <c r="AC118" s="64"/>
      <c r="AD118" s="64"/>
      <c r="AE118" s="64"/>
      <c r="AF118" s="64"/>
      <c r="AG118" s="64"/>
      <c r="AH118" s="42" t="str">
        <f t="shared" si="98"/>
        <v/>
      </c>
    </row>
    <row r="119" spans="1:34" ht="22.5" customHeight="1">
      <c r="A119" s="89">
        <f>IF(B119&lt;&gt;"",COUNTA($B$16:B119),"")</f>
        <v>75</v>
      </c>
      <c r="B119" s="105" t="s">
        <v>75</v>
      </c>
      <c r="C119" s="33" t="s">
        <v>65</v>
      </c>
      <c r="D119" s="98">
        <v>32</v>
      </c>
      <c r="E119" s="98"/>
      <c r="F119" s="33" t="s">
        <v>54</v>
      </c>
      <c r="G119" s="33" t="s">
        <v>116</v>
      </c>
      <c r="H119" s="79" t="s">
        <v>78</v>
      </c>
      <c r="I119" s="79" t="s">
        <v>78</v>
      </c>
      <c r="J119" s="39" t="s">
        <v>46</v>
      </c>
      <c r="K119" s="34">
        <v>41.5</v>
      </c>
      <c r="L119" s="35" t="str">
        <f t="shared" ref="L119" si="173">IF(K119&lt;&gt;"","X","")</f>
        <v>X</v>
      </c>
      <c r="M119" s="35">
        <v>8.75</v>
      </c>
      <c r="N119" s="35" t="str">
        <f t="shared" ref="N119" si="174">IF(M119&lt;&gt;"","X","")</f>
        <v>X</v>
      </c>
      <c r="O119" s="36">
        <v>0.75</v>
      </c>
      <c r="P119" s="186">
        <v>2</v>
      </c>
      <c r="Q119" s="172">
        <v>2</v>
      </c>
      <c r="R119" s="172">
        <v>2</v>
      </c>
      <c r="S119" s="172">
        <v>1</v>
      </c>
      <c r="T119" s="172">
        <v>1</v>
      </c>
      <c r="U119" s="71">
        <f>SUM(P119:T119)</f>
        <v>8</v>
      </c>
      <c r="V119" s="50">
        <f>K119*M119/144</f>
        <v>2.5217013888888888</v>
      </c>
      <c r="W119" s="50">
        <f t="shared" ref="W119" si="175">V119*U119</f>
        <v>20.173611111111111</v>
      </c>
      <c r="X119" s="81">
        <f>K119*M119/144</f>
        <v>2.5217013888888888</v>
      </c>
      <c r="Y119" s="50">
        <f t="shared" ref="Y119" si="176">X119*U119</f>
        <v>20.173611111111111</v>
      </c>
      <c r="Z119" s="50">
        <f t="shared" ref="Z119" si="177">V119*0.09290304</f>
        <v>0.23427372500000002</v>
      </c>
      <c r="AA119" s="50">
        <f t="shared" ref="AA119" si="178">Z119*U119</f>
        <v>1.8741898000000001</v>
      </c>
      <c r="AB119" s="64">
        <v>3.13</v>
      </c>
      <c r="AC119" s="64"/>
      <c r="AD119" s="64"/>
      <c r="AE119" s="64"/>
      <c r="AF119" s="77">
        <f>SUM(AG119:AG119)</f>
        <v>7.8929253472222216</v>
      </c>
      <c r="AG119" s="64">
        <f>K119*M119/144*AB119+(SUM(AC119:AE119))</f>
        <v>7.8929253472222216</v>
      </c>
      <c r="AH119" s="42">
        <f t="shared" si="98"/>
        <v>63.143402777777773</v>
      </c>
    </row>
    <row r="120" spans="1:34" ht="22.5" customHeight="1">
      <c r="A120" s="88" t="str">
        <f>IF(B120&lt;&gt;"",COUNTA($B$16:B120),"")</f>
        <v/>
      </c>
      <c r="B120" s="104"/>
      <c r="C120" s="33"/>
      <c r="D120" s="99"/>
      <c r="E120" s="98"/>
      <c r="F120" s="78"/>
      <c r="G120" s="33"/>
      <c r="H120" s="37"/>
      <c r="I120" s="37"/>
      <c r="J120" s="33"/>
      <c r="K120" s="38"/>
      <c r="L120" s="80"/>
      <c r="M120" s="38"/>
      <c r="N120" s="35"/>
      <c r="O120" s="36"/>
      <c r="P120" s="186"/>
      <c r="Q120" s="172"/>
      <c r="R120" s="172"/>
      <c r="S120" s="172"/>
      <c r="T120" s="172"/>
      <c r="U120" s="71"/>
      <c r="V120" s="50"/>
      <c r="W120" s="50"/>
      <c r="X120" s="81"/>
      <c r="Y120" s="50"/>
      <c r="Z120" s="50"/>
      <c r="AA120" s="50"/>
      <c r="AB120" s="64"/>
      <c r="AC120" s="64"/>
      <c r="AD120" s="64"/>
      <c r="AE120" s="64"/>
      <c r="AF120" s="64"/>
      <c r="AG120" s="64"/>
      <c r="AH120" s="42" t="str">
        <f t="shared" si="98"/>
        <v/>
      </c>
    </row>
    <row r="121" spans="1:34" ht="22.5" customHeight="1">
      <c r="A121" s="89">
        <f>IF(B121&lt;&gt;"",COUNTA($B$16:B121),"")</f>
        <v>76</v>
      </c>
      <c r="B121" s="105" t="s">
        <v>76</v>
      </c>
      <c r="C121" s="33" t="s">
        <v>65</v>
      </c>
      <c r="D121" s="98">
        <v>45</v>
      </c>
      <c r="E121" s="98"/>
      <c r="F121" s="33" t="s">
        <v>54</v>
      </c>
      <c r="G121" s="33" t="s">
        <v>116</v>
      </c>
      <c r="H121" s="103" t="s">
        <v>61</v>
      </c>
      <c r="I121" s="79" t="s">
        <v>60</v>
      </c>
      <c r="J121" s="39" t="s">
        <v>46</v>
      </c>
      <c r="K121" s="34">
        <v>70.5</v>
      </c>
      <c r="L121" s="35" t="str">
        <f t="shared" ref="L121:L123" si="179">IF(K121&lt;&gt;"","X","")</f>
        <v>X</v>
      </c>
      <c r="M121" s="35">
        <v>22.5</v>
      </c>
      <c r="N121" s="35" t="str">
        <f t="shared" ref="N121:N123" si="180">IF(M121&lt;&gt;"","X","")</f>
        <v>X</v>
      </c>
      <c r="O121" s="36">
        <v>0.75</v>
      </c>
      <c r="P121" s="186">
        <v>1</v>
      </c>
      <c r="Q121" s="172">
        <v>1</v>
      </c>
      <c r="R121" s="172">
        <v>1</v>
      </c>
      <c r="S121" s="172"/>
      <c r="T121" s="172"/>
      <c r="U121" s="71">
        <f>SUM(P121:T121)</f>
        <v>3</v>
      </c>
      <c r="V121" s="50">
        <f>K121*M121/144</f>
        <v>11.015625</v>
      </c>
      <c r="W121" s="50">
        <f t="shared" ref="W121:W123" si="181">V121*U121</f>
        <v>33.046875</v>
      </c>
      <c r="X121" s="81">
        <f>K121*M121/144</f>
        <v>11.015625</v>
      </c>
      <c r="Y121" s="50">
        <f t="shared" ref="Y121:Y123" si="182">X121*U121</f>
        <v>33.046875</v>
      </c>
      <c r="Z121" s="50">
        <f t="shared" ref="Z121:Z123" si="183">V121*0.09290304</f>
        <v>1.0233850500000001</v>
      </c>
      <c r="AA121" s="50">
        <f t="shared" ref="AA121:AA123" si="184">Z121*U121</f>
        <v>3.0701551500000006</v>
      </c>
      <c r="AB121" s="64">
        <v>3.13</v>
      </c>
      <c r="AC121" s="64">
        <v>3</v>
      </c>
      <c r="AD121" s="64">
        <v>2</v>
      </c>
      <c r="AE121" s="64">
        <v>10</v>
      </c>
      <c r="AF121" s="77">
        <f>SUM(AG121:AG123)</f>
        <v>55.494374999999998</v>
      </c>
      <c r="AG121" s="64">
        <f>K121*M121/144*AB121+(SUM(AC121:AE121))</f>
        <v>49.478906250000001</v>
      </c>
      <c r="AH121" s="42">
        <f t="shared" si="98"/>
        <v>148.43671875000001</v>
      </c>
    </row>
    <row r="122" spans="1:34" ht="22.5" customHeight="1">
      <c r="A122" s="89">
        <f>IF(B122&lt;&gt;"",COUNTA($B$16:B122),"")</f>
        <v>77</v>
      </c>
      <c r="B122" s="105" t="s">
        <v>76</v>
      </c>
      <c r="C122" s="33" t="s">
        <v>65</v>
      </c>
      <c r="D122" s="98">
        <v>45</v>
      </c>
      <c r="E122" s="98"/>
      <c r="F122" s="33" t="s">
        <v>54</v>
      </c>
      <c r="G122" s="33" t="s">
        <v>116</v>
      </c>
      <c r="H122" s="79" t="s">
        <v>55</v>
      </c>
      <c r="I122" s="79" t="s">
        <v>60</v>
      </c>
      <c r="J122" s="39" t="s">
        <v>46</v>
      </c>
      <c r="K122" s="34">
        <f>K121</f>
        <v>70.5</v>
      </c>
      <c r="L122" s="38" t="str">
        <f t="shared" si="179"/>
        <v>X</v>
      </c>
      <c r="M122" s="35">
        <v>3</v>
      </c>
      <c r="N122" s="35" t="str">
        <f t="shared" si="180"/>
        <v>X</v>
      </c>
      <c r="O122" s="36">
        <v>0.75</v>
      </c>
      <c r="P122" s="186">
        <f>P121</f>
        <v>1</v>
      </c>
      <c r="Q122" s="172">
        <f>Q121</f>
        <v>1</v>
      </c>
      <c r="R122" s="172">
        <f>R121</f>
        <v>1</v>
      </c>
      <c r="S122" s="172"/>
      <c r="T122" s="172"/>
      <c r="U122" s="71">
        <f>SUM(P122:T122)</f>
        <v>3</v>
      </c>
      <c r="V122" s="50">
        <f>K122*M122/144</f>
        <v>1.46875</v>
      </c>
      <c r="W122" s="50">
        <f t="shared" si="181"/>
        <v>4.40625</v>
      </c>
      <c r="X122" s="81">
        <f>K122*M122/144</f>
        <v>1.46875</v>
      </c>
      <c r="Y122" s="50">
        <f t="shared" si="182"/>
        <v>4.40625</v>
      </c>
      <c r="Z122" s="50">
        <f t="shared" si="183"/>
        <v>0.13645134</v>
      </c>
      <c r="AA122" s="50">
        <f t="shared" si="184"/>
        <v>0.40935401999999999</v>
      </c>
      <c r="AB122" s="64">
        <v>3.13</v>
      </c>
      <c r="AC122" s="64"/>
      <c r="AD122" s="64"/>
      <c r="AE122" s="64"/>
      <c r="AF122" s="64"/>
      <c r="AG122" s="64">
        <f>K122*M122/144*AB122+(SUM(AC122:AE122))</f>
        <v>4.5971874999999995</v>
      </c>
      <c r="AH122" s="42">
        <f t="shared" si="98"/>
        <v>13.791562499999998</v>
      </c>
    </row>
    <row r="123" spans="1:34" ht="22.5" customHeight="1">
      <c r="A123" s="89">
        <f>IF(B123&lt;&gt;"",COUNTA($B$16:B123),"")</f>
        <v>78</v>
      </c>
      <c r="B123" s="105" t="s">
        <v>76</v>
      </c>
      <c r="C123" s="33" t="s">
        <v>65</v>
      </c>
      <c r="D123" s="98">
        <v>45</v>
      </c>
      <c r="E123" s="98"/>
      <c r="F123" s="33" t="s">
        <v>54</v>
      </c>
      <c r="G123" s="33" t="s">
        <v>116</v>
      </c>
      <c r="H123" s="79" t="s">
        <v>56</v>
      </c>
      <c r="I123" s="79" t="s">
        <v>60</v>
      </c>
      <c r="J123" s="39" t="s">
        <v>46</v>
      </c>
      <c r="K123" s="34">
        <f>M121-0.75</f>
        <v>21.75</v>
      </c>
      <c r="L123" s="38" t="str">
        <f t="shared" si="179"/>
        <v>X</v>
      </c>
      <c r="M123" s="35">
        <v>3</v>
      </c>
      <c r="N123" s="35" t="str">
        <f t="shared" si="180"/>
        <v>X</v>
      </c>
      <c r="O123" s="36">
        <v>0.75</v>
      </c>
      <c r="P123" s="186">
        <f t="shared" ref="P123:R123" si="185">P122</f>
        <v>1</v>
      </c>
      <c r="Q123" s="172">
        <f t="shared" si="185"/>
        <v>1</v>
      </c>
      <c r="R123" s="172">
        <f t="shared" si="185"/>
        <v>1</v>
      </c>
      <c r="S123" s="172"/>
      <c r="T123" s="172"/>
      <c r="U123" s="71">
        <f>SUM(P123:T123)</f>
        <v>3</v>
      </c>
      <c r="V123" s="50">
        <f>K123*M123/144</f>
        <v>0.453125</v>
      </c>
      <c r="W123" s="50">
        <f t="shared" si="181"/>
        <v>1.359375</v>
      </c>
      <c r="X123" s="81">
        <f>K123*M123/144</f>
        <v>0.453125</v>
      </c>
      <c r="Y123" s="50">
        <f t="shared" si="182"/>
        <v>1.359375</v>
      </c>
      <c r="Z123" s="50">
        <f t="shared" si="183"/>
        <v>4.2096690000000006E-2</v>
      </c>
      <c r="AA123" s="50">
        <f t="shared" si="184"/>
        <v>0.12629007000000003</v>
      </c>
      <c r="AB123" s="64">
        <v>3.13</v>
      </c>
      <c r="AC123" s="64"/>
      <c r="AD123" s="64"/>
      <c r="AE123" s="64"/>
      <c r="AF123" s="64"/>
      <c r="AG123" s="64">
        <f>K123*M123/144*AB123+(SUM(AC123:AE123))</f>
        <v>1.4182812499999999</v>
      </c>
      <c r="AH123" s="42">
        <f t="shared" si="98"/>
        <v>4.25484375</v>
      </c>
    </row>
    <row r="124" spans="1:34" ht="22.5" customHeight="1">
      <c r="A124" s="88" t="str">
        <f>IF(B124&lt;&gt;"",COUNTA($B$16:B124),"")</f>
        <v/>
      </c>
      <c r="B124" s="104"/>
      <c r="C124" s="33"/>
      <c r="D124" s="99"/>
      <c r="E124" s="98"/>
      <c r="F124" s="78"/>
      <c r="G124" s="33"/>
      <c r="H124" s="37"/>
      <c r="I124" s="37"/>
      <c r="J124" s="33"/>
      <c r="K124" s="38"/>
      <c r="L124" s="80"/>
      <c r="M124" s="38"/>
      <c r="N124" s="35"/>
      <c r="O124" s="36"/>
      <c r="P124" s="186"/>
      <c r="Q124" s="172"/>
      <c r="R124" s="172"/>
      <c r="S124" s="172"/>
      <c r="T124" s="172"/>
      <c r="U124" s="71"/>
      <c r="V124" s="50"/>
      <c r="W124" s="50"/>
      <c r="X124" s="81"/>
      <c r="Y124" s="50"/>
      <c r="Z124" s="50"/>
      <c r="AA124" s="50"/>
      <c r="AB124" s="64"/>
      <c r="AC124" s="64"/>
      <c r="AD124" s="64"/>
      <c r="AE124" s="64"/>
      <c r="AF124" s="64"/>
      <c r="AG124" s="64"/>
      <c r="AH124" s="42" t="str">
        <f t="shared" si="98"/>
        <v/>
      </c>
    </row>
    <row r="125" spans="1:34" ht="22.5" customHeight="1">
      <c r="A125" s="89">
        <f>IF(B125&lt;&gt;"",COUNTA($B$16:B125),"")</f>
        <v>79</v>
      </c>
      <c r="B125" s="105" t="s">
        <v>76</v>
      </c>
      <c r="C125" s="33" t="s">
        <v>65</v>
      </c>
      <c r="D125" s="98">
        <v>46</v>
      </c>
      <c r="E125" s="98"/>
      <c r="F125" s="33" t="s">
        <v>54</v>
      </c>
      <c r="G125" s="33" t="s">
        <v>116</v>
      </c>
      <c r="H125" s="103" t="s">
        <v>61</v>
      </c>
      <c r="I125" s="79" t="s">
        <v>60</v>
      </c>
      <c r="J125" s="39" t="s">
        <v>46</v>
      </c>
      <c r="K125" s="34">
        <v>76.5</v>
      </c>
      <c r="L125" s="35" t="str">
        <f t="shared" ref="L125:L127" si="186">IF(K125&lt;&gt;"","X","")</f>
        <v>X</v>
      </c>
      <c r="M125" s="35">
        <v>22.5</v>
      </c>
      <c r="N125" s="35" t="str">
        <f t="shared" ref="N125:N127" si="187">IF(M125&lt;&gt;"","X","")</f>
        <v>X</v>
      </c>
      <c r="O125" s="36">
        <v>0.75</v>
      </c>
      <c r="P125" s="186">
        <v>1</v>
      </c>
      <c r="Q125" s="172">
        <v>1</v>
      </c>
      <c r="R125" s="172">
        <v>1</v>
      </c>
      <c r="S125" s="172"/>
      <c r="T125" s="172"/>
      <c r="U125" s="71">
        <f>SUM(P125:T125)</f>
        <v>3</v>
      </c>
      <c r="V125" s="50">
        <f>K125*M125/144</f>
        <v>11.953125</v>
      </c>
      <c r="W125" s="50">
        <f t="shared" ref="W125:W127" si="188">V125*U125</f>
        <v>35.859375</v>
      </c>
      <c r="X125" s="81">
        <f>K125*M125/144</f>
        <v>11.953125</v>
      </c>
      <c r="Y125" s="50">
        <f t="shared" ref="Y125:Y127" si="189">X125*U125</f>
        <v>35.859375</v>
      </c>
      <c r="Z125" s="50">
        <f t="shared" ref="Z125:Z127" si="190">V125*0.09290304</f>
        <v>1.1104816500000001</v>
      </c>
      <c r="AA125" s="50">
        <f t="shared" ref="AA125:AA127" si="191">Z125*U125</f>
        <v>3.3314449500000003</v>
      </c>
      <c r="AB125" s="64">
        <v>3.13</v>
      </c>
      <c r="AC125" s="64">
        <v>3</v>
      </c>
      <c r="AD125" s="64">
        <v>2</v>
      </c>
      <c r="AE125" s="64">
        <v>10</v>
      </c>
      <c r="AF125" s="77">
        <f>SUM(AG125:AG127)</f>
        <v>58.82</v>
      </c>
      <c r="AG125" s="64">
        <f>K125*M125/144*AB125+(SUM(AC125:AE125))</f>
        <v>52.413281249999997</v>
      </c>
      <c r="AH125" s="42">
        <f t="shared" si="98"/>
        <v>157.23984374999998</v>
      </c>
    </row>
    <row r="126" spans="1:34" ht="22.5" customHeight="1">
      <c r="A126" s="89">
        <f>IF(B126&lt;&gt;"",COUNTA($B$16:B126),"")</f>
        <v>80</v>
      </c>
      <c r="B126" s="105" t="s">
        <v>76</v>
      </c>
      <c r="C126" s="33" t="s">
        <v>65</v>
      </c>
      <c r="D126" s="98">
        <v>46</v>
      </c>
      <c r="E126" s="98"/>
      <c r="F126" s="33" t="s">
        <v>54</v>
      </c>
      <c r="G126" s="33" t="s">
        <v>116</v>
      </c>
      <c r="H126" s="79" t="s">
        <v>55</v>
      </c>
      <c r="I126" s="79" t="s">
        <v>60</v>
      </c>
      <c r="J126" s="39" t="s">
        <v>46</v>
      </c>
      <c r="K126" s="34">
        <f>K125</f>
        <v>76.5</v>
      </c>
      <c r="L126" s="38" t="str">
        <f t="shared" si="186"/>
        <v>X</v>
      </c>
      <c r="M126" s="35">
        <v>3</v>
      </c>
      <c r="N126" s="35" t="str">
        <f t="shared" si="187"/>
        <v>X</v>
      </c>
      <c r="O126" s="36">
        <v>0.75</v>
      </c>
      <c r="P126" s="186">
        <f>P125</f>
        <v>1</v>
      </c>
      <c r="Q126" s="172">
        <f>Q125</f>
        <v>1</v>
      </c>
      <c r="R126" s="172">
        <f>R125</f>
        <v>1</v>
      </c>
      <c r="S126" s="172"/>
      <c r="T126" s="172"/>
      <c r="U126" s="71">
        <f>SUM(P126:T126)</f>
        <v>3</v>
      </c>
      <c r="V126" s="50">
        <f>K126*M126/144</f>
        <v>1.59375</v>
      </c>
      <c r="W126" s="50">
        <f t="shared" si="188"/>
        <v>4.78125</v>
      </c>
      <c r="X126" s="81">
        <f>K126*M126/144</f>
        <v>1.59375</v>
      </c>
      <c r="Y126" s="50">
        <f t="shared" si="189"/>
        <v>4.78125</v>
      </c>
      <c r="Z126" s="50">
        <f t="shared" si="190"/>
        <v>0.14806422</v>
      </c>
      <c r="AA126" s="50">
        <f t="shared" si="191"/>
        <v>0.44419266000000002</v>
      </c>
      <c r="AB126" s="64">
        <v>3.13</v>
      </c>
      <c r="AC126" s="64"/>
      <c r="AD126" s="64"/>
      <c r="AE126" s="64"/>
      <c r="AF126" s="64"/>
      <c r="AG126" s="64">
        <f>K126*M126/144*AB126+(SUM(AC126:AE126))</f>
        <v>4.9884374999999999</v>
      </c>
      <c r="AH126" s="42">
        <f t="shared" si="98"/>
        <v>14.9653125</v>
      </c>
    </row>
    <row r="127" spans="1:34" ht="22.5" customHeight="1">
      <c r="A127" s="89">
        <f>IF(B127&lt;&gt;"",COUNTA($B$16:B127),"")</f>
        <v>81</v>
      </c>
      <c r="B127" s="105" t="s">
        <v>76</v>
      </c>
      <c r="C127" s="33" t="s">
        <v>65</v>
      </c>
      <c r="D127" s="98">
        <v>46</v>
      </c>
      <c r="E127" s="98"/>
      <c r="F127" s="33" t="s">
        <v>54</v>
      </c>
      <c r="G127" s="33" t="s">
        <v>116</v>
      </c>
      <c r="H127" s="79" t="s">
        <v>56</v>
      </c>
      <c r="I127" s="79" t="s">
        <v>60</v>
      </c>
      <c r="J127" s="39" t="s">
        <v>46</v>
      </c>
      <c r="K127" s="34">
        <f>M125-0.75</f>
        <v>21.75</v>
      </c>
      <c r="L127" s="38" t="str">
        <f t="shared" si="186"/>
        <v>X</v>
      </c>
      <c r="M127" s="35">
        <v>3</v>
      </c>
      <c r="N127" s="35" t="str">
        <f t="shared" si="187"/>
        <v>X</v>
      </c>
      <c r="O127" s="36">
        <v>0.75</v>
      </c>
      <c r="P127" s="186">
        <f t="shared" ref="P127:R127" si="192">P126</f>
        <v>1</v>
      </c>
      <c r="Q127" s="172">
        <f t="shared" si="192"/>
        <v>1</v>
      </c>
      <c r="R127" s="172">
        <f t="shared" si="192"/>
        <v>1</v>
      </c>
      <c r="S127" s="172"/>
      <c r="T127" s="172"/>
      <c r="U127" s="71">
        <f>SUM(P127:T127)</f>
        <v>3</v>
      </c>
      <c r="V127" s="50">
        <f>K127*M127/144</f>
        <v>0.453125</v>
      </c>
      <c r="W127" s="50">
        <f t="shared" si="188"/>
        <v>1.359375</v>
      </c>
      <c r="X127" s="81">
        <f>K127*M127/144</f>
        <v>0.453125</v>
      </c>
      <c r="Y127" s="50">
        <f t="shared" si="189"/>
        <v>1.359375</v>
      </c>
      <c r="Z127" s="50">
        <f t="shared" si="190"/>
        <v>4.2096690000000006E-2</v>
      </c>
      <c r="AA127" s="50">
        <f t="shared" si="191"/>
        <v>0.12629007000000003</v>
      </c>
      <c r="AB127" s="64">
        <v>3.13</v>
      </c>
      <c r="AC127" s="64"/>
      <c r="AD127" s="64"/>
      <c r="AE127" s="64"/>
      <c r="AF127" s="64"/>
      <c r="AG127" s="64">
        <f>K127*M127/144*AB127+(SUM(AC127:AE127))</f>
        <v>1.4182812499999999</v>
      </c>
      <c r="AH127" s="42">
        <f t="shared" si="98"/>
        <v>4.25484375</v>
      </c>
    </row>
    <row r="128" spans="1:34" ht="22.5" customHeight="1">
      <c r="A128" s="88" t="str">
        <f>IF(B128&lt;&gt;"",COUNTA($B$16:B128),"")</f>
        <v/>
      </c>
      <c r="B128" s="33"/>
      <c r="C128" s="33"/>
      <c r="D128" s="100" t="s">
        <v>53</v>
      </c>
      <c r="E128" s="98"/>
      <c r="F128" s="78"/>
      <c r="G128" s="33"/>
      <c r="H128" s="37"/>
      <c r="I128" s="37"/>
      <c r="J128" s="33"/>
      <c r="K128" s="38"/>
      <c r="L128" s="35"/>
      <c r="M128" s="38"/>
      <c r="N128" s="35"/>
      <c r="O128" s="36"/>
      <c r="P128" s="186"/>
      <c r="Q128" s="172"/>
      <c r="R128" s="172"/>
      <c r="S128" s="172"/>
      <c r="T128" s="172"/>
      <c r="U128" s="71"/>
      <c r="V128" s="50"/>
      <c r="W128" s="50"/>
      <c r="X128" s="50"/>
      <c r="Y128" s="50"/>
      <c r="Z128" s="50"/>
      <c r="AA128" s="50"/>
      <c r="AB128" s="64"/>
      <c r="AC128" s="64"/>
      <c r="AD128" s="64"/>
      <c r="AE128" s="64"/>
      <c r="AF128" s="64"/>
      <c r="AG128" s="64"/>
      <c r="AH128" s="42" t="str">
        <f t="shared" si="98"/>
        <v/>
      </c>
    </row>
    <row r="129" spans="1:34" ht="22.5" customHeight="1">
      <c r="A129" s="89">
        <f>IF(B129&lt;&gt;"",COUNTA($B$16:B129),"")</f>
        <v>82</v>
      </c>
      <c r="B129" s="73" t="s">
        <v>53</v>
      </c>
      <c r="C129" s="33"/>
      <c r="D129" s="98">
        <v>50</v>
      </c>
      <c r="E129" s="98"/>
      <c r="F129" s="33" t="s">
        <v>54</v>
      </c>
      <c r="G129" s="33" t="s">
        <v>116</v>
      </c>
      <c r="H129" s="79" t="s">
        <v>61</v>
      </c>
      <c r="I129" s="79" t="s">
        <v>60</v>
      </c>
      <c r="J129" s="39" t="s">
        <v>46</v>
      </c>
      <c r="K129" s="34">
        <v>79.5</v>
      </c>
      <c r="L129" s="35" t="str">
        <f>IF(K129&lt;&gt;"","X","")</f>
        <v>X</v>
      </c>
      <c r="M129" s="35">
        <v>22.5</v>
      </c>
      <c r="N129" s="35" t="str">
        <f>IF(M129&lt;&gt;"","X","")</f>
        <v>X</v>
      </c>
      <c r="O129" s="36">
        <v>0.75</v>
      </c>
      <c r="P129" s="186"/>
      <c r="Q129" s="172"/>
      <c r="R129" s="172"/>
      <c r="S129" s="172"/>
      <c r="T129" s="172"/>
      <c r="U129" s="71">
        <v>25</v>
      </c>
      <c r="V129" s="50">
        <f>K129*M129/144</f>
        <v>12.421875</v>
      </c>
      <c r="W129" s="50">
        <f>V129*U129</f>
        <v>310.546875</v>
      </c>
      <c r="X129" s="50">
        <f>K129*M129/144</f>
        <v>12.421875</v>
      </c>
      <c r="Y129" s="50">
        <f>X129*U129</f>
        <v>310.546875</v>
      </c>
      <c r="Z129" s="50">
        <f t="shared" ref="Z129" si="193">V129*0.09290304</f>
        <v>1.15402995</v>
      </c>
      <c r="AA129" s="50">
        <f t="shared" ref="AA129" si="194">Z129*U129</f>
        <v>28.850748750000001</v>
      </c>
      <c r="AB129" s="64">
        <v>3.13</v>
      </c>
      <c r="AC129" s="64"/>
      <c r="AD129" s="64"/>
      <c r="AE129" s="64"/>
      <c r="AF129" s="77">
        <f>SUM(AG129:AG129)</f>
        <v>38.880468749999999</v>
      </c>
      <c r="AG129" s="64">
        <f>K129*M129/144*AB129+(SUM(AC129:AE129))</f>
        <v>38.880468749999999</v>
      </c>
      <c r="AH129" s="42">
        <f t="shared" si="98"/>
        <v>972.01171875</v>
      </c>
    </row>
    <row r="130" spans="1:34" ht="22.5" customHeight="1">
      <c r="A130" s="88" t="str">
        <f>IF(B130&lt;&gt;"",COUNTA($B$16:B130),"")</f>
        <v/>
      </c>
      <c r="B130" s="33"/>
      <c r="C130" s="33"/>
      <c r="D130" s="98"/>
      <c r="E130" s="98"/>
      <c r="F130" s="78"/>
      <c r="G130" s="33"/>
      <c r="H130" s="37"/>
      <c r="I130" s="37"/>
      <c r="J130" s="33"/>
      <c r="K130" s="38"/>
      <c r="L130" s="35"/>
      <c r="M130" s="38"/>
      <c r="N130" s="35"/>
      <c r="O130" s="36"/>
      <c r="P130" s="186"/>
      <c r="Q130" s="172"/>
      <c r="R130" s="172"/>
      <c r="S130" s="172"/>
      <c r="T130" s="172"/>
      <c r="U130" s="71"/>
      <c r="V130" s="50"/>
      <c r="W130" s="50"/>
      <c r="X130" s="50"/>
      <c r="Y130" s="50"/>
      <c r="Z130" s="50"/>
      <c r="AA130" s="50"/>
      <c r="AB130" s="64"/>
      <c r="AC130" s="64"/>
      <c r="AD130" s="64"/>
      <c r="AE130" s="64"/>
      <c r="AF130" s="64"/>
      <c r="AG130" s="64"/>
      <c r="AH130" s="42" t="str">
        <f t="shared" si="98"/>
        <v/>
      </c>
    </row>
    <row r="131" spans="1:34" ht="22.5" customHeight="1">
      <c r="A131" s="89">
        <f>IF(B131&lt;&gt;"",COUNTA($B$16:B131),"")</f>
        <v>83</v>
      </c>
      <c r="B131" s="73" t="s">
        <v>53</v>
      </c>
      <c r="C131" s="33"/>
      <c r="D131" s="98">
        <v>50</v>
      </c>
      <c r="E131" s="98"/>
      <c r="F131" s="33" t="s">
        <v>54</v>
      </c>
      <c r="G131" s="33" t="s">
        <v>116</v>
      </c>
      <c r="H131" s="79" t="s">
        <v>55</v>
      </c>
      <c r="I131" s="79" t="s">
        <v>60</v>
      </c>
      <c r="J131" s="39" t="s">
        <v>46</v>
      </c>
      <c r="K131" s="34">
        <v>79.5</v>
      </c>
      <c r="L131" s="35" t="str">
        <f>IF(K131&lt;&gt;"","X","")</f>
        <v>X</v>
      </c>
      <c r="M131" s="35">
        <v>4</v>
      </c>
      <c r="N131" s="35" t="str">
        <f>IF(M131&lt;&gt;"","X","")</f>
        <v>X</v>
      </c>
      <c r="O131" s="36">
        <v>0.75</v>
      </c>
      <c r="P131" s="186"/>
      <c r="Q131" s="172"/>
      <c r="R131" s="172"/>
      <c r="S131" s="172"/>
      <c r="T131" s="172"/>
      <c r="U131" s="71">
        <v>50</v>
      </c>
      <c r="V131" s="50">
        <f>K131*M131/144</f>
        <v>2.2083333333333335</v>
      </c>
      <c r="W131" s="50">
        <f>V131*U131</f>
        <v>110.41666666666667</v>
      </c>
      <c r="X131" s="50">
        <f>K131*M131/144</f>
        <v>2.2083333333333335</v>
      </c>
      <c r="Y131" s="50">
        <f>X131*U131</f>
        <v>110.41666666666667</v>
      </c>
      <c r="Z131" s="50">
        <f t="shared" ref="Z131" si="195">V131*0.09290304</f>
        <v>0.20516088000000002</v>
      </c>
      <c r="AA131" s="50">
        <f t="shared" ref="AA131" si="196">Z131*U131</f>
        <v>10.258044000000002</v>
      </c>
      <c r="AB131" s="64">
        <v>3.13</v>
      </c>
      <c r="AC131" s="64"/>
      <c r="AD131" s="64"/>
      <c r="AE131" s="64"/>
      <c r="AF131" s="77">
        <f>SUM(AG131:AG131)</f>
        <v>6.9120833333333334</v>
      </c>
      <c r="AG131" s="64">
        <f>K131*M131/144*AB131+(SUM(AC131:AE131))</f>
        <v>6.9120833333333334</v>
      </c>
      <c r="AH131" s="42">
        <f t="shared" si="98"/>
        <v>345.60416666666669</v>
      </c>
    </row>
    <row r="132" spans="1:34" ht="22.5" customHeight="1">
      <c r="A132" s="88" t="str">
        <f>IF(B132&lt;&gt;"",COUNTA($B$16:B132),"")</f>
        <v/>
      </c>
      <c r="B132" s="33"/>
      <c r="C132" s="33"/>
      <c r="D132" s="98"/>
      <c r="E132" s="98"/>
      <c r="F132" s="78"/>
      <c r="G132" s="33"/>
      <c r="H132" s="37"/>
      <c r="I132" s="37"/>
      <c r="J132" s="33"/>
      <c r="K132" s="38"/>
      <c r="L132" s="35"/>
      <c r="M132" s="38"/>
      <c r="N132" s="35"/>
      <c r="O132" s="36"/>
      <c r="P132" s="186"/>
      <c r="Q132" s="172"/>
      <c r="R132" s="172"/>
      <c r="S132" s="172"/>
      <c r="T132" s="172"/>
      <c r="U132" s="71"/>
      <c r="V132" s="50"/>
      <c r="W132" s="50"/>
      <c r="X132" s="50"/>
      <c r="Y132" s="50"/>
      <c r="Z132" s="50"/>
      <c r="AA132" s="50"/>
      <c r="AB132" s="64"/>
      <c r="AC132" s="64"/>
      <c r="AD132" s="64"/>
      <c r="AE132" s="64"/>
      <c r="AF132" s="64"/>
      <c r="AG132" s="64"/>
      <c r="AH132" s="42" t="str">
        <f t="shared" si="98"/>
        <v/>
      </c>
    </row>
    <row r="133" spans="1:34" ht="22.5" customHeight="1">
      <c r="A133" s="89">
        <f>IF(B133&lt;&gt;"",COUNTA($B$16:B133),"")</f>
        <v>84</v>
      </c>
      <c r="B133" s="73" t="s">
        <v>53</v>
      </c>
      <c r="C133" s="33"/>
      <c r="D133" s="98">
        <v>50</v>
      </c>
      <c r="E133" s="98"/>
      <c r="F133" s="33" t="s">
        <v>54</v>
      </c>
      <c r="G133" s="33" t="s">
        <v>116</v>
      </c>
      <c r="H133" s="79" t="s">
        <v>55</v>
      </c>
      <c r="I133" s="79" t="s">
        <v>60</v>
      </c>
      <c r="J133" s="39" t="s">
        <v>46</v>
      </c>
      <c r="K133" s="34">
        <v>79.5</v>
      </c>
      <c r="L133" s="35" t="str">
        <f>IF(K133&lt;&gt;"","X","")</f>
        <v>X</v>
      </c>
      <c r="M133" s="35">
        <v>4</v>
      </c>
      <c r="N133" s="35" t="str">
        <f>IF(M133&lt;&gt;"","X","")</f>
        <v>X</v>
      </c>
      <c r="O133" s="36">
        <v>0.75</v>
      </c>
      <c r="P133" s="186"/>
      <c r="Q133" s="172"/>
      <c r="R133" s="172"/>
      <c r="S133" s="172"/>
      <c r="T133" s="172"/>
      <c r="U133" s="71">
        <v>40</v>
      </c>
      <c r="V133" s="50">
        <f>K133*M133/144</f>
        <v>2.2083333333333335</v>
      </c>
      <c r="W133" s="50">
        <f>V133*U133</f>
        <v>88.333333333333343</v>
      </c>
      <c r="X133" s="50">
        <f>K133*M133/144</f>
        <v>2.2083333333333335</v>
      </c>
      <c r="Y133" s="50">
        <f>X133*U133</f>
        <v>88.333333333333343</v>
      </c>
      <c r="Z133" s="50">
        <f t="shared" ref="Z133" si="197">V133*0.09290304</f>
        <v>0.20516088000000002</v>
      </c>
      <c r="AA133" s="50">
        <f t="shared" ref="AA133" si="198">Z133*U133</f>
        <v>8.2064352000000014</v>
      </c>
      <c r="AB133" s="64">
        <v>0</v>
      </c>
      <c r="AC133" s="64"/>
      <c r="AD133" s="64"/>
      <c r="AE133" s="64"/>
      <c r="AF133" s="77">
        <f>SUM(AG133:AG133)</f>
        <v>0</v>
      </c>
      <c r="AG133" s="64">
        <f>K133*M133/144*AB133+(SUM(AC133:AE133))</f>
        <v>0</v>
      </c>
      <c r="AH133" s="42">
        <f t="shared" si="98"/>
        <v>0</v>
      </c>
    </row>
    <row r="134" spans="1:34" ht="22.5" customHeight="1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15"/>
      <c r="W134" s="57">
        <f>SUM(W13:W133)</f>
        <v>6301.9499782986122</v>
      </c>
      <c r="X134" s="58"/>
      <c r="Y134" s="58">
        <f>SUM(Y13:Y133)</f>
        <v>6133.1423611111122</v>
      </c>
      <c r="Z134" s="58"/>
      <c r="AA134" s="58">
        <f>SUM(AA13:AA133)</f>
        <v>585.47031091187489</v>
      </c>
      <c r="AB134" s="65"/>
      <c r="AC134" s="65"/>
      <c r="AD134" s="65"/>
      <c r="AE134" s="65"/>
      <c r="AF134" s="65"/>
      <c r="AG134" s="74" t="s">
        <v>49</v>
      </c>
      <c r="AH134" s="43">
        <f>SUM(AH14:AH133)</f>
        <v>23549.732347005214</v>
      </c>
    </row>
    <row r="135" spans="1:34" ht="22.5" customHeight="1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15"/>
      <c r="W135" s="115"/>
      <c r="X135" s="51"/>
      <c r="Y135" s="51"/>
      <c r="Z135" s="51"/>
      <c r="AA135" s="51"/>
      <c r="AB135" s="66"/>
      <c r="AC135" s="66"/>
      <c r="AD135" s="66"/>
      <c r="AE135" s="66"/>
      <c r="AF135" s="66"/>
      <c r="AG135" s="75" t="s">
        <v>50</v>
      </c>
      <c r="AH135" s="56">
        <v>0</v>
      </c>
    </row>
    <row r="136" spans="1:34" ht="22.5" customHeight="1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15"/>
      <c r="W136" s="115"/>
      <c r="X136" s="51"/>
      <c r="Y136" s="51"/>
      <c r="Z136" s="51"/>
      <c r="AA136" s="51"/>
      <c r="AB136" s="66"/>
      <c r="AC136" s="66"/>
      <c r="AD136" s="66"/>
      <c r="AE136" s="66"/>
      <c r="AF136" s="66"/>
      <c r="AG136" s="75" t="s">
        <v>51</v>
      </c>
      <c r="AH136" s="43">
        <f>SUM(AH134:AH135)</f>
        <v>23549.732347005214</v>
      </c>
    </row>
    <row r="137" spans="1:34" ht="21" customHeight="1">
      <c r="A137" s="199" t="s">
        <v>81</v>
      </c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  <c r="AB137" s="199"/>
      <c r="AC137" s="199"/>
      <c r="AD137" s="199"/>
      <c r="AE137" s="199"/>
      <c r="AF137" s="199"/>
      <c r="AG137" s="199"/>
      <c r="AH137" s="199"/>
    </row>
    <row r="138" spans="1:34">
      <c r="A138" s="90"/>
      <c r="B138" s="28"/>
      <c r="C138" s="28"/>
      <c r="D138" s="101"/>
      <c r="E138" s="101"/>
      <c r="F138" s="28"/>
      <c r="G138" s="28"/>
      <c r="H138" s="28"/>
      <c r="I138" s="28"/>
      <c r="J138" s="29"/>
      <c r="K138" s="20"/>
      <c r="L138" s="30"/>
      <c r="M138" s="20"/>
      <c r="N138" s="30" t="s">
        <v>1</v>
      </c>
      <c r="O138" s="30"/>
      <c r="P138" s="187"/>
      <c r="Q138" s="173"/>
      <c r="R138" s="173"/>
      <c r="S138" s="173"/>
      <c r="T138" s="173"/>
      <c r="U138" s="31"/>
      <c r="V138" s="31"/>
      <c r="W138" s="31"/>
      <c r="X138" s="52"/>
      <c r="Y138" s="52"/>
      <c r="Z138" s="52"/>
      <c r="AA138" s="52"/>
      <c r="AB138" s="67"/>
      <c r="AC138" s="67"/>
      <c r="AD138" s="67"/>
      <c r="AE138" s="67"/>
      <c r="AF138" s="67"/>
      <c r="AG138" s="32"/>
      <c r="AH138" s="118"/>
    </row>
    <row r="139" spans="1:34" ht="15.75">
      <c r="A139" s="91"/>
      <c r="B139" s="7"/>
      <c r="C139" s="7"/>
      <c r="D139" s="91"/>
      <c r="E139" s="91"/>
      <c r="F139" s="7"/>
      <c r="G139" s="7"/>
      <c r="H139" s="4"/>
      <c r="I139" s="4"/>
      <c r="J139" s="3"/>
      <c r="K139" s="5"/>
      <c r="L139" s="6"/>
      <c r="M139" s="6"/>
      <c r="N139" s="6"/>
      <c r="O139" s="5"/>
      <c r="P139" s="188"/>
      <c r="Q139" s="174"/>
      <c r="R139" s="174"/>
      <c r="S139" s="174"/>
      <c r="T139" s="174"/>
      <c r="U139" s="8"/>
      <c r="V139" s="8"/>
      <c r="W139" s="8"/>
      <c r="X139" s="54"/>
      <c r="Y139" s="54"/>
      <c r="Z139" s="54"/>
      <c r="AA139" s="54"/>
      <c r="AB139" s="69"/>
      <c r="AC139" s="69"/>
      <c r="AD139" s="69"/>
      <c r="AE139" s="69"/>
      <c r="AF139" s="69"/>
      <c r="AG139" s="9"/>
      <c r="AH139" s="9"/>
    </row>
    <row r="140" spans="1:34" ht="15.75">
      <c r="A140" s="91"/>
      <c r="B140" s="7"/>
      <c r="C140" s="7"/>
      <c r="D140" s="91"/>
      <c r="E140" s="91"/>
      <c r="F140" s="7"/>
      <c r="G140" s="7"/>
      <c r="H140" s="4"/>
      <c r="I140" s="4"/>
      <c r="J140" s="3"/>
      <c r="K140" s="5"/>
      <c r="L140" s="6"/>
      <c r="M140" s="6"/>
      <c r="N140" s="6"/>
      <c r="O140" s="5"/>
      <c r="P140" s="188"/>
      <c r="Q140" s="174"/>
      <c r="R140" s="174"/>
      <c r="S140" s="174"/>
      <c r="T140" s="174"/>
      <c r="U140" s="8"/>
      <c r="V140" s="8"/>
      <c r="W140" s="8"/>
      <c r="X140" s="54"/>
      <c r="Y140" s="54"/>
      <c r="Z140" s="54"/>
      <c r="AA140" s="54"/>
      <c r="AB140" s="69"/>
      <c r="AC140" s="69"/>
      <c r="AD140" s="69"/>
      <c r="AE140" s="69"/>
      <c r="AF140" s="69"/>
      <c r="AG140" s="9"/>
      <c r="AH140" s="9"/>
    </row>
    <row r="141" spans="1:34" ht="15.75">
      <c r="A141" s="91"/>
      <c r="B141" s="7"/>
      <c r="C141" s="7"/>
      <c r="D141" s="91"/>
      <c r="E141" s="91"/>
      <c r="F141" s="7"/>
      <c r="G141" s="7"/>
      <c r="H141" s="4"/>
      <c r="I141" s="4"/>
      <c r="J141" s="3"/>
      <c r="K141" s="5"/>
      <c r="L141" s="6"/>
      <c r="M141" s="6"/>
      <c r="N141" s="6"/>
      <c r="O141" s="5"/>
      <c r="P141" s="188"/>
      <c r="Q141" s="174"/>
      <c r="R141" s="174"/>
      <c r="S141" s="174"/>
      <c r="T141" s="174"/>
      <c r="U141" s="8"/>
      <c r="V141" s="8"/>
      <c r="W141" s="8"/>
      <c r="X141" s="54"/>
      <c r="Y141" s="54"/>
      <c r="Z141" s="54"/>
      <c r="AA141" s="54"/>
      <c r="AB141" s="69"/>
      <c r="AC141" s="69"/>
      <c r="AD141" s="69"/>
      <c r="AE141" s="69"/>
      <c r="AF141" s="69"/>
      <c r="AG141" s="9"/>
      <c r="AH141" s="9"/>
    </row>
    <row r="142" spans="1:34">
      <c r="A142" s="92"/>
      <c r="B142" s="2"/>
      <c r="C142" s="2"/>
      <c r="D142" s="92"/>
      <c r="E142" s="92"/>
      <c r="F142" s="2"/>
      <c r="G142" s="2"/>
      <c r="H142" s="2"/>
      <c r="I142" s="2"/>
      <c r="J142" s="2"/>
      <c r="K142" s="2"/>
      <c r="L142" s="2"/>
      <c r="M142" s="2"/>
      <c r="N142" s="2"/>
      <c r="O142" s="2"/>
      <c r="U142" s="2"/>
      <c r="V142" s="2"/>
      <c r="W142" s="2"/>
      <c r="X142" s="55"/>
      <c r="Y142" s="55"/>
      <c r="Z142" s="55"/>
      <c r="AA142" s="55"/>
      <c r="AB142" s="70"/>
      <c r="AC142" s="70"/>
      <c r="AD142" s="70"/>
      <c r="AE142" s="70"/>
      <c r="AF142" s="70"/>
      <c r="AG142" s="3"/>
      <c r="AH142" s="2"/>
    </row>
    <row r="143" spans="1:34">
      <c r="A143" s="92"/>
      <c r="B143" s="2"/>
      <c r="C143" s="2"/>
      <c r="D143" s="92"/>
      <c r="E143" s="92"/>
      <c r="F143" s="2"/>
      <c r="G143" s="2"/>
      <c r="H143" s="2"/>
      <c r="I143" s="2"/>
      <c r="J143" s="2"/>
      <c r="K143" s="2"/>
      <c r="L143" s="2"/>
      <c r="M143" s="2"/>
      <c r="N143" s="2"/>
      <c r="O143" s="2"/>
      <c r="U143" s="2"/>
      <c r="V143" s="2"/>
      <c r="W143" s="2"/>
      <c r="X143" s="55"/>
      <c r="Y143" s="55"/>
      <c r="Z143" s="55"/>
      <c r="AA143" s="55"/>
      <c r="AB143" s="70"/>
      <c r="AC143" s="70"/>
      <c r="AD143" s="70"/>
      <c r="AE143" s="70"/>
      <c r="AF143" s="70"/>
      <c r="AG143" s="3"/>
      <c r="AH143" s="2"/>
    </row>
  </sheetData>
  <protectedRanges>
    <protectedRange password="E7A6" sqref="A6:A9 A12 H14:I14 J6:P9 A14:A16 H10:P13 B13:G16 A134:U138 A10:G11 H15 AH134:AH136 AF15:AH15 N35:AH35 P59:S64 P72:T74 L31 J27 L27 J31 J39 L39 J43 L43 P84:AB84 P112:S114 F64 U72:AB75 P96:S96 P68:S70 N43:S43 P90:AB90 P102:AB102 P28:T30 P23:T26 P104:S106 P108:S110 V134:AF136 T15:AD15 P116:S117 J52 L52 N52:S52 N101:AB101 N31:AH31 P32:AH34 N124:S124 N27:T27 T47:AH64 J58 L58 N58:S58 N89:AB89 A58:F62 P119:S119 A23:B26 C23:G23 N95:S95 N85:AB85 N97:S97 P121:S123 P125:S127 N75:T75 L79 J75 L75 J79 J91 J17 L17 N17:S17 L91 J97 L97 N91:S91 N79:AB79 T91:AB97 P36:AH38 P76:AB78 J111 L111 N111:S111 A52:G57 P92:S94 N39:S39 P40:S42 L22 J22 N22:S22 L35 J35 J47 L47 N47:S47 P44:AH46 N67:AH67 A27:F51 J120 L120 N120:S120 A67:G127 L71 J71 D132 F133 N71:S71 L85 J85 J103 L103 N103:S103 T68:AB71 J67 L67 L107 N107:S107 L83 J83 L89 J89 J95 L95 J101 L101 V137:AH138 U23:AH30 N83:AB83 J107 P80:AB82 P86:AB88 P98:AB100 J115 L115 N115:S115 T103:AB127 J118 L118 N118:S118 P18:S21 P48:S51 P53:S57 T39:AH43 G128:G133 A128:A133 D130 F131 E128:E133 T16:AH22 AC68:AH127 P128:AH133 F129 P65:AH66 J124 L124 F66 A63:A66 G58:G66 E63:E66 D65 AG6:AG12 AH6:AH11 Q6:AF13 A17:G22 T14:AH14 J14:S16 C24:F26 G24:G51" name="区域1"/>
    <protectedRange password="E7A6" sqref="F9:I9" name="区域1_1_1"/>
    <protectedRange password="E7A6" sqref="F7:I8" name="区域1_1_1_1_2_1"/>
    <protectedRange password="E7A6" sqref="K32:O34 O64 K72:O74 K28:O30 K76:O78 K80:O82 K86:O88 K84:O84 K90:O90 K92:O94 O129 K98:O100 K96:O96 K102:O102 K59:O62 K104:O106 K48:O51 K108:O110 K40:O42 K23:O26 K36:O38 K44:O46 K53:O57 K68:O70 K112:O114 K116:O117 M129 K125:O127 K119:O119 O131 O133 K121:O123 K18:O21" name="区域1_2"/>
    <protectedRange password="E7A6" sqref="H133 H40:H42 H72:H74 H76:H78 H80:H82 H131 H86:H88 H84:I84 H90:I90 H92:H94 H36:H38 H28:H30 H44:H46 H53:H57 H98:H100 H96:I96 H125:H127 H59:H62 H104:H106 H48:H51 H108:H110 H112:H114 H116:H117 H23:H26 H102:I102 H129 H68:H70 H119:I119 H18:H21 H32:H34 H121:H123" name="区域1_2_1_1"/>
    <protectedRange password="E7A6" sqref="J108:J110 J72:J74 J76:J78 J28:J30 J80:J82 J32:J34 J44:J46 J86:J88 J84 J36:J38 J40:J42 J68:J70 J18:J21 J90 J53:J57 J59:J62 J92:J94 J98:J100 J96 J121:J123 J125:J127 J104:J106 J48:J51 J119 J112:J114 J23:J26 J102 J116:J117" name="区域1_4_1"/>
    <protectedRange password="E7A6" sqref="I48:I51 I129 I28:I30 I40:I42 I32:I34 I44:I46 I59:I62 I121:I123 I125:I127 I98:I100 I131 I36:I38 I133 I68:I70 I108:I110 I53:I57 I23:I26 I72:I74 I76:I78 I80:I82 I86:I88 I92:I94 I116:I117 I112:I114 I104:I106 I18:I21" name="区域1_2_1_1_1_1"/>
    <protectedRange password="E7A6" sqref="I15" name="区域1_3"/>
    <protectedRange password="E7A6" sqref="AG134:AG136" name="区域1_4"/>
    <protectedRange password="E7A6" sqref="AE15" name="区域1_5"/>
    <protectedRange password="E7A6" sqref="F132 J132 L132 N132:O132 B133:D133 B132:C132 B128:D129 F128 J128 L128 J63 L63 N63:O63 F63 N128:O128 F130 J130 L130 N130:O130 B131:D131 B130:C130 J65 L65 N65:O65 B63:D64 F65 B66:D66 B65:C65" name="区域1_6"/>
    <protectedRange password="E7A6" sqref="N129 K64:L64 K129:L129 K133:N133 K131:N131 N64" name="区域1_2_2"/>
    <protectedRange password="E7A6" sqref="H64 H66" name="区域1_2_1_1_3"/>
    <protectedRange password="E7A6" sqref="J129 J133 J64 J131 J66" name="区域1_4_1_2"/>
    <protectedRange password="E7A6" sqref="I64 I66" name="区域1_2_1_1_1_1_1"/>
    <protectedRange password="E7A6" sqref="E7:E9" name="区域1_1"/>
    <protectedRange password="E7A6" sqref="D7:D9" name="区域1_1_3"/>
    <protectedRange password="E7A6" sqref="B9:C9" name="区域1_1_1_1"/>
    <protectedRange password="E7A6" sqref="B7:C8" name="区域1_1_1_1_2_1_1"/>
    <protectedRange password="E7A6" sqref="M64" name="区域1_2_2_1_1"/>
    <protectedRange password="E7A6" sqref="O66" name="区域1_2_1"/>
    <protectedRange password="E7A6" sqref="K66:N66" name="区域1_2_2_2"/>
  </protectedRanges>
  <mergeCells count="12">
    <mergeCell ref="A16:AH16"/>
    <mergeCell ref="A134:U134"/>
    <mergeCell ref="A135:U135"/>
    <mergeCell ref="A136:U136"/>
    <mergeCell ref="A137:AH137"/>
    <mergeCell ref="A1:AH1"/>
    <mergeCell ref="A2:AH2"/>
    <mergeCell ref="A3:AH3"/>
    <mergeCell ref="A5:AH5"/>
    <mergeCell ref="V14:W14"/>
    <mergeCell ref="X14:Y14"/>
    <mergeCell ref="P14:T14"/>
  </mergeCells>
  <phoneticPr fontId="2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horizontalDpi="4294967293" r:id="rId1"/>
  <headerFooter alignWithMargins="0">
    <oddFooter xml:space="preserve">&amp;C 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379"/>
  <sheetViews>
    <sheetView topLeftCell="D7" zoomScale="80" zoomScaleNormal="80" zoomScaleSheetLayoutView="40" workbookViewId="0">
      <selection activeCell="O20" sqref="O20"/>
    </sheetView>
  </sheetViews>
  <sheetFormatPr defaultRowHeight="15"/>
  <cols>
    <col min="1" max="1" width="13.375" style="93" bestFit="1" customWidth="1"/>
    <col min="2" max="2" width="26.625" style="1" customWidth="1"/>
    <col min="3" max="3" width="20.25" style="1" customWidth="1"/>
    <col min="4" max="5" width="18.875" style="93" customWidth="1"/>
    <col min="6" max="6" width="19.875" style="1" customWidth="1"/>
    <col min="7" max="7" width="24.375" style="1" customWidth="1"/>
    <col min="8" max="8" width="21.875" style="1" customWidth="1"/>
    <col min="9" max="9" width="21.25" style="1" customWidth="1"/>
    <col min="10" max="10" width="15.5" style="1" customWidth="1"/>
    <col min="11" max="11" width="8.125" style="1" customWidth="1"/>
    <col min="12" max="12" width="5.625" style="1" customWidth="1"/>
    <col min="13" max="13" width="7.5" style="1" customWidth="1"/>
    <col min="14" max="14" width="5.875" style="1" customWidth="1"/>
    <col min="15" max="15" width="7.75" style="1" customWidth="1"/>
    <col min="16" max="16" width="9.75" style="1" customWidth="1"/>
    <col min="17" max="17" width="9.25" style="1" customWidth="1"/>
    <col min="18" max="18" width="9.5" style="1" customWidth="1"/>
    <col min="19" max="19" width="9" style="1" customWidth="1"/>
    <col min="20" max="20" width="12.75" style="1" customWidth="1"/>
    <col min="21" max="22" width="9" style="1" customWidth="1"/>
    <col min="23" max="23" width="10.25" style="1" customWidth="1"/>
    <col min="24" max="24" width="11.25" style="1" customWidth="1"/>
    <col min="25" max="25" width="11.375" style="53" customWidth="1"/>
    <col min="26" max="28" width="11.5" style="53" customWidth="1"/>
    <col min="29" max="29" width="13.125" style="68" customWidth="1"/>
    <col min="30" max="32" width="13.125" style="68" hidden="1" customWidth="1"/>
    <col min="33" max="33" width="22.375" style="1" customWidth="1"/>
    <col min="34" max="34" width="35.375" style="1" customWidth="1"/>
    <col min="35" max="16384" width="9" style="1"/>
  </cols>
  <sheetData>
    <row r="1" spans="1:34" ht="20.25">
      <c r="A1" s="190" t="s">
        <v>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</row>
    <row r="2" spans="1:34" ht="15.75">
      <c r="A2" s="191" t="s">
        <v>4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200"/>
      <c r="AH2" s="200"/>
    </row>
    <row r="3" spans="1:34">
      <c r="A3" s="192" t="s">
        <v>3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201"/>
      <c r="AH3" s="201"/>
    </row>
    <row r="4" spans="1:34">
      <c r="A4" s="82"/>
      <c r="B4" s="10"/>
      <c r="C4" s="10"/>
      <c r="D4" s="82"/>
      <c r="E4" s="8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46"/>
      <c r="Z4" s="46"/>
      <c r="AA4" s="46"/>
      <c r="AB4" s="46"/>
      <c r="AC4" s="59"/>
      <c r="AD4" s="59"/>
      <c r="AE4" s="59"/>
      <c r="AF4" s="59"/>
      <c r="AG4" s="11"/>
      <c r="AH4" s="11"/>
    </row>
    <row r="5" spans="1:34" ht="24" thickBot="1">
      <c r="A5" s="193" t="s">
        <v>82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</row>
    <row r="6" spans="1:34" ht="15.75" customHeight="1" thickTop="1">
      <c r="A6" s="83" t="s">
        <v>2</v>
      </c>
      <c r="B6" s="143"/>
      <c r="C6" s="143"/>
      <c r="D6" s="94"/>
      <c r="E6" s="94"/>
      <c r="F6" s="143"/>
      <c r="G6" s="143"/>
      <c r="H6" s="31"/>
      <c r="I6" s="3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3"/>
      <c r="V6" s="13"/>
      <c r="W6" s="13"/>
      <c r="X6" s="13"/>
      <c r="Y6" s="47"/>
      <c r="Z6" s="47"/>
      <c r="AA6" s="47"/>
      <c r="AB6" s="47"/>
      <c r="AC6" s="60"/>
      <c r="AD6" s="60"/>
      <c r="AE6" s="60"/>
      <c r="AF6" s="60"/>
      <c r="AG6" s="161" t="s">
        <v>23</v>
      </c>
      <c r="AH6" s="160"/>
    </row>
    <row r="7" spans="1:34" ht="15.75">
      <c r="A7" s="83" t="s">
        <v>6</v>
      </c>
      <c r="B7" s="143"/>
      <c r="C7" s="143"/>
      <c r="D7" s="94"/>
      <c r="E7" s="102"/>
      <c r="F7" s="143"/>
      <c r="G7" s="143"/>
      <c r="H7" s="31"/>
      <c r="I7" s="31"/>
      <c r="J7" s="12"/>
      <c r="K7" s="14"/>
      <c r="L7" s="141"/>
      <c r="M7" s="141"/>
      <c r="N7" s="141"/>
      <c r="O7" s="14"/>
      <c r="P7" s="14"/>
      <c r="Q7" s="14"/>
      <c r="R7" s="14"/>
      <c r="S7" s="14"/>
      <c r="T7" s="14"/>
      <c r="U7" s="13"/>
      <c r="V7" s="13"/>
      <c r="W7" s="13"/>
      <c r="X7" s="13"/>
      <c r="Y7" s="47"/>
      <c r="Z7" s="47"/>
      <c r="AA7" s="47"/>
      <c r="AB7" s="47"/>
      <c r="AC7" s="60"/>
      <c r="AD7" s="60"/>
      <c r="AE7" s="60"/>
      <c r="AF7" s="60"/>
      <c r="AG7" s="161" t="s">
        <v>26</v>
      </c>
      <c r="AH7" s="160"/>
    </row>
    <row r="8" spans="1:34" ht="15.75">
      <c r="A8" s="83"/>
      <c r="B8" s="143"/>
      <c r="C8" s="143"/>
      <c r="D8" s="94"/>
      <c r="E8" s="102"/>
      <c r="F8" s="143"/>
      <c r="G8" s="143"/>
      <c r="H8" s="31"/>
      <c r="I8" s="31"/>
      <c r="J8" s="12"/>
      <c r="K8" s="14"/>
      <c r="L8" s="141"/>
      <c r="M8" s="141"/>
      <c r="N8" s="141"/>
      <c r="O8" s="14"/>
      <c r="P8" s="14"/>
      <c r="Q8" s="14"/>
      <c r="R8" s="14"/>
      <c r="S8" s="14"/>
      <c r="T8" s="14"/>
      <c r="U8" s="13"/>
      <c r="V8" s="13"/>
      <c r="W8" s="13"/>
      <c r="X8" s="13"/>
      <c r="Y8" s="47"/>
      <c r="Z8" s="47"/>
      <c r="AA8" s="47"/>
      <c r="AB8" s="47"/>
      <c r="AC8" s="60"/>
      <c r="AD8" s="60"/>
      <c r="AE8" s="60"/>
      <c r="AF8" s="60"/>
      <c r="AG8" s="161" t="s">
        <v>12</v>
      </c>
      <c r="AH8" s="160"/>
    </row>
    <row r="9" spans="1:34" ht="15.75" customHeight="1">
      <c r="A9" s="84" t="s">
        <v>7</v>
      </c>
      <c r="B9" s="143"/>
      <c r="C9" s="143"/>
      <c r="D9" s="94"/>
      <c r="E9" s="102"/>
      <c r="F9" s="143"/>
      <c r="G9" s="143"/>
      <c r="H9" s="31"/>
      <c r="I9" s="31"/>
      <c r="J9" s="12"/>
      <c r="K9" s="14"/>
      <c r="L9" s="141"/>
      <c r="M9" s="141"/>
      <c r="N9" s="141"/>
      <c r="O9" s="14"/>
      <c r="P9" s="14"/>
      <c r="Q9" s="14"/>
      <c r="R9" s="14"/>
      <c r="S9" s="14"/>
      <c r="T9" s="14"/>
      <c r="U9" s="13"/>
      <c r="V9" s="13"/>
      <c r="W9" s="13"/>
      <c r="X9" s="13"/>
      <c r="Y9" s="47"/>
      <c r="Z9" s="47"/>
      <c r="AA9" s="47"/>
      <c r="AB9" s="47"/>
      <c r="AC9" s="60"/>
      <c r="AD9" s="60"/>
      <c r="AE9" s="60"/>
      <c r="AF9" s="60"/>
      <c r="AG9" s="161" t="s">
        <v>13</v>
      </c>
      <c r="AH9" s="160"/>
    </row>
    <row r="10" spans="1:34" ht="15.75">
      <c r="A10" s="84" t="s">
        <v>8</v>
      </c>
      <c r="B10" s="143"/>
      <c r="C10" s="143"/>
      <c r="D10" s="94"/>
      <c r="E10" s="94"/>
      <c r="F10" s="143"/>
      <c r="G10" s="143"/>
      <c r="H10" s="12"/>
      <c r="I10" s="12"/>
      <c r="J10" s="12"/>
      <c r="K10" s="14"/>
      <c r="L10" s="141"/>
      <c r="M10" s="141"/>
      <c r="N10" s="141"/>
      <c r="O10" s="14"/>
      <c r="P10" s="14"/>
      <c r="Q10" s="14"/>
      <c r="R10" s="14"/>
      <c r="S10" s="14"/>
      <c r="T10" s="14"/>
      <c r="U10" s="13"/>
      <c r="V10" s="13"/>
      <c r="W10" s="13"/>
      <c r="X10" s="13"/>
      <c r="Y10" s="47"/>
      <c r="Z10" s="47"/>
      <c r="AA10" s="47"/>
      <c r="AB10" s="47"/>
      <c r="AC10" s="60"/>
      <c r="AD10" s="60"/>
      <c r="AE10" s="60"/>
      <c r="AF10" s="60"/>
      <c r="AG10" s="161" t="s">
        <v>14</v>
      </c>
      <c r="AH10" s="160"/>
    </row>
    <row r="11" spans="1:34" ht="15.75">
      <c r="A11" s="85" t="s">
        <v>11</v>
      </c>
      <c r="B11" s="18"/>
      <c r="C11" s="18"/>
      <c r="D11" s="95"/>
      <c r="E11" s="95"/>
      <c r="F11" s="18"/>
      <c r="G11" s="18"/>
      <c r="H11" s="16"/>
      <c r="I11" s="16"/>
      <c r="J11" s="141"/>
      <c r="K11" s="14"/>
      <c r="L11" s="141"/>
      <c r="M11" s="141"/>
      <c r="N11" s="141"/>
      <c r="O11" s="14"/>
      <c r="P11" s="14"/>
      <c r="Q11" s="14"/>
      <c r="R11" s="14"/>
      <c r="S11" s="14"/>
      <c r="T11" s="14"/>
      <c r="U11" s="13"/>
      <c r="V11" s="13"/>
      <c r="W11" s="13"/>
      <c r="X11" s="13"/>
      <c r="Y11" s="47"/>
      <c r="Z11" s="47"/>
      <c r="AA11" s="47"/>
      <c r="AB11" s="47"/>
      <c r="AC11" s="60"/>
      <c r="AD11" s="60"/>
      <c r="AE11" s="60"/>
      <c r="AF11" s="60"/>
      <c r="AG11" s="161" t="s">
        <v>15</v>
      </c>
      <c r="AH11" s="160"/>
    </row>
    <row r="12" spans="1:34" ht="15.75">
      <c r="A12" s="85" t="s">
        <v>9</v>
      </c>
      <c r="B12" s="40"/>
      <c r="C12" s="40"/>
      <c r="D12" s="96"/>
      <c r="E12" s="96"/>
      <c r="F12" s="40"/>
      <c r="G12" s="40"/>
      <c r="H12" s="15"/>
      <c r="I12" s="15"/>
      <c r="J12" s="15"/>
      <c r="K12" s="14"/>
      <c r="L12" s="141"/>
      <c r="M12" s="141"/>
      <c r="N12" s="141"/>
      <c r="O12" s="14"/>
      <c r="P12" s="14"/>
      <c r="Q12" s="14"/>
      <c r="R12" s="14"/>
      <c r="S12" s="14"/>
      <c r="T12" s="14"/>
      <c r="U12" s="13"/>
      <c r="V12" s="13"/>
      <c r="W12" s="13"/>
      <c r="X12" s="13"/>
      <c r="Y12" s="47"/>
      <c r="Z12" s="47"/>
      <c r="AA12" s="47"/>
      <c r="AB12" s="47"/>
      <c r="AC12" s="60"/>
      <c r="AD12" s="60"/>
      <c r="AE12" s="60"/>
      <c r="AF12" s="60"/>
      <c r="AG12" s="161" t="s">
        <v>28</v>
      </c>
      <c r="AH12" s="160"/>
    </row>
    <row r="13" spans="1:34" ht="15.75">
      <c r="A13" s="86" t="s">
        <v>10</v>
      </c>
      <c r="B13" s="41"/>
      <c r="C13" s="41"/>
      <c r="D13" s="95"/>
      <c r="E13" s="95"/>
      <c r="F13" s="41"/>
      <c r="G13" s="41"/>
      <c r="H13" s="16"/>
      <c r="I13" s="16"/>
      <c r="J13" s="141"/>
      <c r="K13" s="14"/>
      <c r="L13" s="141"/>
      <c r="M13" s="141"/>
      <c r="N13" s="141"/>
      <c r="O13" s="14"/>
      <c r="P13" s="14"/>
      <c r="Q13" s="14"/>
      <c r="R13" s="14"/>
      <c r="S13" s="14"/>
      <c r="T13" s="14"/>
      <c r="U13" s="45"/>
      <c r="V13" s="45"/>
      <c r="W13" s="45"/>
      <c r="X13" s="45"/>
      <c r="Y13" s="48"/>
      <c r="Z13" s="48"/>
      <c r="AA13" s="48"/>
      <c r="AB13" s="48"/>
      <c r="AC13" s="61"/>
      <c r="AD13" s="61"/>
      <c r="AE13" s="61"/>
      <c r="AF13" s="61"/>
      <c r="AG13" s="72"/>
      <c r="AH13" s="160"/>
    </row>
    <row r="14" spans="1:34">
      <c r="A14" s="85"/>
      <c r="B14" s="18"/>
      <c r="C14" s="18"/>
      <c r="D14" s="95"/>
      <c r="E14" s="95"/>
      <c r="F14" s="18"/>
      <c r="G14" s="18"/>
      <c r="H14" s="19"/>
      <c r="I14" s="19"/>
      <c r="J14" s="20"/>
      <c r="K14" s="21"/>
      <c r="L14" s="20"/>
      <c r="M14" s="20"/>
      <c r="N14" s="20"/>
      <c r="O14" s="21"/>
      <c r="P14" s="21"/>
      <c r="Q14" s="21"/>
      <c r="R14" s="21"/>
      <c r="S14" s="21"/>
      <c r="T14" s="21"/>
      <c r="U14" s="142"/>
      <c r="V14" s="142"/>
      <c r="W14" s="194" t="s">
        <v>34</v>
      </c>
      <c r="X14" s="194"/>
      <c r="Y14" s="194" t="s">
        <v>33</v>
      </c>
      <c r="Z14" s="194"/>
      <c r="AA14" s="106"/>
      <c r="AB14" s="106"/>
      <c r="AC14" s="62"/>
      <c r="AD14" s="62"/>
      <c r="AE14" s="62"/>
      <c r="AF14" s="62"/>
      <c r="AG14" s="17" t="s">
        <v>27</v>
      </c>
      <c r="AH14" s="18"/>
    </row>
    <row r="15" spans="1:34" ht="28.5" customHeight="1">
      <c r="A15" s="87" t="s">
        <v>31</v>
      </c>
      <c r="B15" s="22" t="s">
        <v>30</v>
      </c>
      <c r="C15" s="22" t="s">
        <v>44</v>
      </c>
      <c r="D15" s="87" t="s">
        <v>32</v>
      </c>
      <c r="E15" s="87" t="s">
        <v>40</v>
      </c>
      <c r="F15" s="22" t="s">
        <v>39</v>
      </c>
      <c r="G15" s="22" t="s">
        <v>38</v>
      </c>
      <c r="H15" s="22" t="s">
        <v>16</v>
      </c>
      <c r="I15" s="22" t="s">
        <v>48</v>
      </c>
      <c r="J15" s="22" t="s">
        <v>25</v>
      </c>
      <c r="K15" s="23" t="s">
        <v>17</v>
      </c>
      <c r="L15" s="24" t="s">
        <v>0</v>
      </c>
      <c r="M15" s="24" t="s">
        <v>18</v>
      </c>
      <c r="N15" s="24" t="s">
        <v>0</v>
      </c>
      <c r="O15" s="23" t="s">
        <v>19</v>
      </c>
      <c r="P15" s="23" t="s">
        <v>79</v>
      </c>
      <c r="Q15" s="23" t="s">
        <v>67</v>
      </c>
      <c r="R15" s="23" t="s">
        <v>68</v>
      </c>
      <c r="S15" s="23" t="s">
        <v>69</v>
      </c>
      <c r="T15" s="107" t="s">
        <v>80</v>
      </c>
      <c r="U15" s="25" t="s">
        <v>24</v>
      </c>
      <c r="V15" s="25" t="s">
        <v>83</v>
      </c>
      <c r="W15" s="49" t="s">
        <v>35</v>
      </c>
      <c r="X15" s="49" t="s">
        <v>36</v>
      </c>
      <c r="Y15" s="49" t="s">
        <v>35</v>
      </c>
      <c r="Z15" s="49" t="s">
        <v>36</v>
      </c>
      <c r="AA15" s="49" t="s">
        <v>63</v>
      </c>
      <c r="AB15" s="49" t="s">
        <v>64</v>
      </c>
      <c r="AC15" s="63" t="s">
        <v>37</v>
      </c>
      <c r="AD15" s="63" t="s">
        <v>42</v>
      </c>
      <c r="AE15" s="63" t="s">
        <v>41</v>
      </c>
      <c r="AF15" s="63" t="s">
        <v>52</v>
      </c>
      <c r="AG15" s="27" t="s">
        <v>21</v>
      </c>
      <c r="AH15" s="27" t="s">
        <v>22</v>
      </c>
    </row>
    <row r="16" spans="1:34" ht="22.5" customHeight="1">
      <c r="A16" s="196" t="s">
        <v>66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205"/>
    </row>
    <row r="17" spans="1:34" ht="30" customHeight="1">
      <c r="A17" s="206" t="s">
        <v>90</v>
      </c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</row>
    <row r="18" spans="1:34" ht="22.5" customHeight="1">
      <c r="A18" s="89">
        <v>1</v>
      </c>
      <c r="B18" s="105" t="s">
        <v>70</v>
      </c>
      <c r="C18" s="33" t="s">
        <v>43</v>
      </c>
      <c r="D18" s="98">
        <v>1</v>
      </c>
      <c r="E18" s="98"/>
      <c r="F18" s="33" t="s">
        <v>54</v>
      </c>
      <c r="G18" s="33" t="s">
        <v>116</v>
      </c>
      <c r="H18" s="79" t="s">
        <v>58</v>
      </c>
      <c r="I18" s="79" t="s">
        <v>47</v>
      </c>
      <c r="J18" s="39" t="s">
        <v>46</v>
      </c>
      <c r="K18" s="34">
        <v>97.375</v>
      </c>
      <c r="L18" s="35" t="s">
        <v>84</v>
      </c>
      <c r="M18" s="35">
        <v>43.625</v>
      </c>
      <c r="N18" s="35" t="s">
        <v>84</v>
      </c>
      <c r="O18" s="36">
        <v>1.25</v>
      </c>
      <c r="P18" s="36">
        <v>2</v>
      </c>
      <c r="Q18" s="36"/>
      <c r="R18" s="36"/>
      <c r="S18" s="36"/>
      <c r="T18" s="36"/>
      <c r="U18" s="71">
        <v>2</v>
      </c>
      <c r="V18" s="202">
        <v>1</v>
      </c>
      <c r="W18" s="50">
        <v>29.499891493055557</v>
      </c>
      <c r="X18" s="50">
        <v>58.999782986111114</v>
      </c>
      <c r="Y18" s="109">
        <v>29.49</v>
      </c>
      <c r="Z18" s="50">
        <v>58.98</v>
      </c>
      <c r="AA18" s="50">
        <v>2.7406295993750005</v>
      </c>
      <c r="AB18" s="50">
        <v>5.481259198750001</v>
      </c>
      <c r="AC18" s="64">
        <v>4.01</v>
      </c>
      <c r="AD18" s="64"/>
      <c r="AE18" s="64"/>
      <c r="AF18" s="64"/>
      <c r="AG18" s="44">
        <v>960.85103439287832</v>
      </c>
      <c r="AH18" s="44">
        <v>435.76010630062507</v>
      </c>
    </row>
    <row r="19" spans="1:34" ht="22.5" customHeight="1">
      <c r="A19" s="89">
        <v>2</v>
      </c>
      <c r="B19" s="105" t="s">
        <v>70</v>
      </c>
      <c r="C19" s="33" t="s">
        <v>65</v>
      </c>
      <c r="D19" s="98">
        <v>3</v>
      </c>
      <c r="E19" s="98"/>
      <c r="F19" s="33" t="s">
        <v>54</v>
      </c>
      <c r="G19" s="33" t="s">
        <v>116</v>
      </c>
      <c r="H19" s="79" t="s">
        <v>58</v>
      </c>
      <c r="I19" s="79" t="s">
        <v>47</v>
      </c>
      <c r="J19" s="39" t="s">
        <v>46</v>
      </c>
      <c r="K19" s="34">
        <v>97.375</v>
      </c>
      <c r="L19" s="38" t="s">
        <v>84</v>
      </c>
      <c r="M19" s="35">
        <v>43.625</v>
      </c>
      <c r="N19" s="35" t="s">
        <v>84</v>
      </c>
      <c r="O19" s="36">
        <v>1.25</v>
      </c>
      <c r="P19" s="36">
        <v>3</v>
      </c>
      <c r="Q19" s="36"/>
      <c r="R19" s="36"/>
      <c r="S19" s="36"/>
      <c r="T19" s="36"/>
      <c r="U19" s="71">
        <v>3</v>
      </c>
      <c r="V19" s="203"/>
      <c r="W19" s="50">
        <v>29.499891493055557</v>
      </c>
      <c r="X19" s="50">
        <v>88.499674479166671</v>
      </c>
      <c r="Y19" s="109">
        <v>29.49</v>
      </c>
      <c r="Z19" s="50">
        <v>88.47</v>
      </c>
      <c r="AA19" s="50">
        <v>2.7406295993750005</v>
      </c>
      <c r="AB19" s="50">
        <v>8.2218887981250006</v>
      </c>
      <c r="AC19" s="64">
        <v>4.01</v>
      </c>
      <c r="AD19" s="64"/>
      <c r="AE19" s="64"/>
      <c r="AF19" s="64"/>
      <c r="AG19" s="44">
        <v>1441.276551589317</v>
      </c>
      <c r="AH19" s="44">
        <v>653.6401594509374</v>
      </c>
    </row>
    <row r="20" spans="1:34" ht="22.5" customHeight="1">
      <c r="A20" s="89">
        <v>3</v>
      </c>
      <c r="B20" s="105" t="s">
        <v>72</v>
      </c>
      <c r="C20" s="33" t="s">
        <v>43</v>
      </c>
      <c r="D20" s="98">
        <v>7</v>
      </c>
      <c r="E20" s="98"/>
      <c r="F20" s="33" t="s">
        <v>54</v>
      </c>
      <c r="G20" s="33" t="s">
        <v>116</v>
      </c>
      <c r="H20" s="79" t="s">
        <v>58</v>
      </c>
      <c r="I20" s="79" t="s">
        <v>47</v>
      </c>
      <c r="J20" s="39" t="s">
        <v>46</v>
      </c>
      <c r="K20" s="34">
        <v>98.25</v>
      </c>
      <c r="L20" s="38" t="s">
        <v>84</v>
      </c>
      <c r="M20" s="35">
        <v>43.625</v>
      </c>
      <c r="N20" s="35" t="s">
        <v>84</v>
      </c>
      <c r="O20" s="36">
        <v>1.25</v>
      </c>
      <c r="P20" s="36">
        <v>2</v>
      </c>
      <c r="Q20" s="36"/>
      <c r="R20" s="36"/>
      <c r="S20" s="36"/>
      <c r="T20" s="36"/>
      <c r="U20" s="71">
        <v>2</v>
      </c>
      <c r="V20" s="204"/>
      <c r="W20" s="50">
        <v>29.764973958333332</v>
      </c>
      <c r="X20" s="50">
        <v>59.529947916666664</v>
      </c>
      <c r="Y20" s="109">
        <v>29.75</v>
      </c>
      <c r="Z20" s="50">
        <v>59.5</v>
      </c>
      <c r="AA20" s="50">
        <v>2.7652565662500002</v>
      </c>
      <c r="AB20" s="50">
        <v>5.5305131325000003</v>
      </c>
      <c r="AC20" s="64">
        <v>4.01</v>
      </c>
      <c r="AD20" s="64"/>
      <c r="AE20" s="64"/>
      <c r="AF20" s="64"/>
      <c r="AG20" s="44">
        <v>969.48512584441892</v>
      </c>
      <c r="AH20" s="44">
        <v>439.67579403375004</v>
      </c>
    </row>
    <row r="21" spans="1:34" ht="22.5" customHeight="1">
      <c r="A21" s="89"/>
      <c r="B21" s="105"/>
      <c r="C21" s="33"/>
      <c r="D21" s="98"/>
      <c r="E21" s="98"/>
      <c r="F21" s="33"/>
      <c r="G21" s="33"/>
      <c r="H21" s="79"/>
      <c r="I21" s="79"/>
      <c r="J21" s="39"/>
      <c r="K21" s="34"/>
      <c r="L21" s="38"/>
      <c r="M21" s="35"/>
      <c r="N21" s="35"/>
      <c r="O21" s="36"/>
      <c r="P21" s="36"/>
      <c r="Q21" s="36"/>
      <c r="R21" s="36"/>
      <c r="S21" s="36"/>
      <c r="T21" s="36"/>
      <c r="U21" s="120">
        <f>SUBTOTAL(9,U18:U20)</f>
        <v>7</v>
      </c>
      <c r="V21" s="139"/>
      <c r="W21" s="129"/>
      <c r="X21" s="129"/>
      <c r="Y21" s="130"/>
      <c r="Z21" s="129"/>
      <c r="AA21" s="129"/>
      <c r="AB21" s="129"/>
      <c r="AC21" s="77"/>
      <c r="AD21" s="64"/>
      <c r="AE21" s="64"/>
      <c r="AF21" s="64"/>
      <c r="AG21" s="131">
        <f>SUBTOTAL(9,AG18:AG20)</f>
        <v>3371.612711826614</v>
      </c>
      <c r="AH21" s="131">
        <f>SUBTOTAL(9,AH18:AH20)</f>
        <v>1529.0760597853125</v>
      </c>
    </row>
    <row r="22" spans="1:34" ht="22.5" customHeight="1">
      <c r="A22" s="89">
        <v>4</v>
      </c>
      <c r="B22" s="105" t="s">
        <v>72</v>
      </c>
      <c r="C22" s="33" t="s">
        <v>43</v>
      </c>
      <c r="D22" s="98">
        <v>7</v>
      </c>
      <c r="E22" s="98"/>
      <c r="F22" s="33" t="s">
        <v>54</v>
      </c>
      <c r="G22" s="33" t="s">
        <v>116</v>
      </c>
      <c r="H22" s="79" t="s">
        <v>58</v>
      </c>
      <c r="I22" s="79" t="s">
        <v>47</v>
      </c>
      <c r="J22" s="39" t="s">
        <v>46</v>
      </c>
      <c r="K22" s="34">
        <v>98.25</v>
      </c>
      <c r="L22" s="38" t="s">
        <v>84</v>
      </c>
      <c r="M22" s="35">
        <v>43.625</v>
      </c>
      <c r="N22" s="35" t="s">
        <v>84</v>
      </c>
      <c r="O22" s="36">
        <v>1.25</v>
      </c>
      <c r="P22" s="36">
        <v>1</v>
      </c>
      <c r="Q22" s="36"/>
      <c r="R22" s="36"/>
      <c r="S22" s="36"/>
      <c r="T22" s="36"/>
      <c r="U22" s="71">
        <v>1</v>
      </c>
      <c r="V22" s="202">
        <v>2</v>
      </c>
      <c r="W22" s="50">
        <v>29.764973958333332</v>
      </c>
      <c r="X22" s="50">
        <v>29.764973958333332</v>
      </c>
      <c r="Y22" s="109">
        <v>29.75</v>
      </c>
      <c r="Z22" s="50">
        <v>29.75</v>
      </c>
      <c r="AA22" s="50">
        <v>2.7652565662500002</v>
      </c>
      <c r="AB22" s="50">
        <v>2.7652565662500002</v>
      </c>
      <c r="AC22" s="64">
        <v>4.01</v>
      </c>
      <c r="AD22" s="64"/>
      <c r="AE22" s="64"/>
      <c r="AF22" s="64"/>
      <c r="AG22" s="44">
        <v>484.74256292220946</v>
      </c>
      <c r="AH22" s="44">
        <v>219.83789701687502</v>
      </c>
    </row>
    <row r="23" spans="1:34" ht="22.5" customHeight="1">
      <c r="A23" s="89">
        <v>5</v>
      </c>
      <c r="B23" s="104" t="s">
        <v>72</v>
      </c>
      <c r="C23" s="33" t="s">
        <v>65</v>
      </c>
      <c r="D23" s="98">
        <v>10</v>
      </c>
      <c r="E23" s="98"/>
      <c r="F23" s="33" t="s">
        <v>54</v>
      </c>
      <c r="G23" s="33" t="s">
        <v>116</v>
      </c>
      <c r="H23" s="79" t="s">
        <v>58</v>
      </c>
      <c r="I23" s="79" t="s">
        <v>47</v>
      </c>
      <c r="J23" s="39" t="s">
        <v>46</v>
      </c>
      <c r="K23" s="38">
        <v>98.25</v>
      </c>
      <c r="L23" s="35" t="s">
        <v>84</v>
      </c>
      <c r="M23" s="38">
        <v>43.625</v>
      </c>
      <c r="N23" s="35" t="s">
        <v>84</v>
      </c>
      <c r="O23" s="36">
        <v>1.25</v>
      </c>
      <c r="P23" s="36">
        <v>3</v>
      </c>
      <c r="Q23" s="36"/>
      <c r="R23" s="36"/>
      <c r="S23" s="36"/>
      <c r="T23" s="36"/>
      <c r="U23" s="71">
        <v>3</v>
      </c>
      <c r="V23" s="203"/>
      <c r="W23" s="50">
        <v>29.764973958333332</v>
      </c>
      <c r="X23" s="50">
        <v>89.294921875</v>
      </c>
      <c r="Y23" s="109">
        <v>29.75</v>
      </c>
      <c r="Z23" s="50">
        <v>89.25</v>
      </c>
      <c r="AA23" s="50">
        <v>2.7652565662500002</v>
      </c>
      <c r="AB23" s="50">
        <v>8.29576969875</v>
      </c>
      <c r="AC23" s="64">
        <v>4.01</v>
      </c>
      <c r="AD23" s="64"/>
      <c r="AE23" s="64"/>
      <c r="AF23" s="64"/>
      <c r="AG23" s="44">
        <v>1454.227688766628</v>
      </c>
      <c r="AH23" s="44">
        <v>659.51369105062497</v>
      </c>
    </row>
    <row r="24" spans="1:34" ht="22.5" customHeight="1">
      <c r="A24" s="89">
        <v>6</v>
      </c>
      <c r="B24" s="105" t="s">
        <v>75</v>
      </c>
      <c r="C24" s="33" t="s">
        <v>65</v>
      </c>
      <c r="D24" s="98">
        <v>29</v>
      </c>
      <c r="E24" s="98"/>
      <c r="F24" s="33" t="s">
        <v>54</v>
      </c>
      <c r="G24" s="33" t="s">
        <v>116</v>
      </c>
      <c r="H24" s="79" t="s">
        <v>58</v>
      </c>
      <c r="I24" s="79" t="s">
        <v>47</v>
      </c>
      <c r="J24" s="39" t="s">
        <v>46</v>
      </c>
      <c r="K24" s="34">
        <v>78</v>
      </c>
      <c r="L24" s="35" t="s">
        <v>84</v>
      </c>
      <c r="M24" s="108">
        <v>29.75</v>
      </c>
      <c r="N24" s="35" t="s">
        <v>84</v>
      </c>
      <c r="O24" s="36">
        <v>1.25</v>
      </c>
      <c r="P24" s="36">
        <v>2</v>
      </c>
      <c r="Q24" s="36"/>
      <c r="R24" s="36"/>
      <c r="S24" s="36"/>
      <c r="T24" s="36"/>
      <c r="U24" s="71">
        <v>2</v>
      </c>
      <c r="V24" s="203"/>
      <c r="W24" s="50">
        <v>16.114583333333332</v>
      </c>
      <c r="X24" s="50">
        <v>32.229166666666664</v>
      </c>
      <c r="Y24" s="109">
        <v>11.74</v>
      </c>
      <c r="Z24" s="50">
        <v>23.48</v>
      </c>
      <c r="AA24" s="50">
        <v>1.4970937799999999</v>
      </c>
      <c r="AB24" s="50">
        <v>2.9941875599999999</v>
      </c>
      <c r="AC24" s="64">
        <v>4.01</v>
      </c>
      <c r="AD24" s="64"/>
      <c r="AE24" s="64"/>
      <c r="AF24" s="64"/>
      <c r="AG24" s="44">
        <v>524.87359379909992</v>
      </c>
      <c r="AH24" s="44">
        <v>238.03791101999997</v>
      </c>
    </row>
    <row r="25" spans="1:34" ht="22.5" customHeight="1">
      <c r="A25" s="89">
        <v>7</v>
      </c>
      <c r="B25" s="105" t="s">
        <v>75</v>
      </c>
      <c r="C25" s="33" t="s">
        <v>65</v>
      </c>
      <c r="D25" s="98">
        <v>29</v>
      </c>
      <c r="E25" s="98"/>
      <c r="F25" s="33" t="s">
        <v>54</v>
      </c>
      <c r="G25" s="33" t="s">
        <v>116</v>
      </c>
      <c r="H25" s="79" t="s">
        <v>58</v>
      </c>
      <c r="I25" s="79" t="s">
        <v>47</v>
      </c>
      <c r="J25" s="39" t="s">
        <v>46</v>
      </c>
      <c r="K25" s="34">
        <v>78</v>
      </c>
      <c r="L25" s="38" t="s">
        <v>84</v>
      </c>
      <c r="M25" s="108">
        <v>28.875</v>
      </c>
      <c r="N25" s="35" t="s">
        <v>84</v>
      </c>
      <c r="O25" s="36">
        <v>1.25</v>
      </c>
      <c r="P25" s="36">
        <v>2</v>
      </c>
      <c r="Q25" s="36"/>
      <c r="R25" s="36"/>
      <c r="S25" s="36"/>
      <c r="T25" s="36"/>
      <c r="U25" s="71">
        <v>2</v>
      </c>
      <c r="V25" s="204"/>
      <c r="W25" s="50">
        <v>15.640625</v>
      </c>
      <c r="X25" s="50">
        <v>31.28125</v>
      </c>
      <c r="Y25" s="81">
        <v>15.640625</v>
      </c>
      <c r="Z25" s="50">
        <v>31.28125</v>
      </c>
      <c r="AA25" s="50">
        <v>1.45306161</v>
      </c>
      <c r="AB25" s="50">
        <v>2.90612322</v>
      </c>
      <c r="AC25" s="64">
        <v>4.01</v>
      </c>
      <c r="AD25" s="64"/>
      <c r="AE25" s="64"/>
      <c r="AF25" s="64"/>
      <c r="AG25" s="44">
        <v>509.43613515795005</v>
      </c>
      <c r="AH25" s="44">
        <v>231.03679599</v>
      </c>
    </row>
    <row r="26" spans="1:34" ht="22.5" customHeight="1">
      <c r="A26" s="89"/>
      <c r="B26" s="105"/>
      <c r="C26" s="33"/>
      <c r="D26" s="98"/>
      <c r="E26" s="98"/>
      <c r="F26" s="33"/>
      <c r="G26" s="33"/>
      <c r="H26" s="79"/>
      <c r="I26" s="79"/>
      <c r="J26" s="39"/>
      <c r="K26" s="34"/>
      <c r="L26" s="38"/>
      <c r="M26" s="108"/>
      <c r="N26" s="35"/>
      <c r="O26" s="36"/>
      <c r="P26" s="36"/>
      <c r="Q26" s="36"/>
      <c r="R26" s="36"/>
      <c r="S26" s="36"/>
      <c r="T26" s="36"/>
      <c r="U26" s="120">
        <f>SUBTOTAL(9,U22:U25)</f>
        <v>8</v>
      </c>
      <c r="V26" s="139"/>
      <c r="W26" s="129"/>
      <c r="X26" s="129"/>
      <c r="Y26" s="132"/>
      <c r="Z26" s="129"/>
      <c r="AA26" s="129"/>
      <c r="AB26" s="129"/>
      <c r="AC26" s="77"/>
      <c r="AD26" s="64"/>
      <c r="AE26" s="64"/>
      <c r="AF26" s="64"/>
      <c r="AG26" s="131">
        <f>SUBTOTAL(9,AG22:AG25)</f>
        <v>2973.2799806458875</v>
      </c>
      <c r="AH26" s="131">
        <f>SUBTOTAL(9,AH22:AH25)</f>
        <v>1348.4262950774998</v>
      </c>
    </row>
    <row r="27" spans="1:34" ht="22.5" customHeight="1">
      <c r="A27" s="89">
        <v>8</v>
      </c>
      <c r="B27" s="105" t="s">
        <v>73</v>
      </c>
      <c r="C27" s="33" t="s">
        <v>43</v>
      </c>
      <c r="D27" s="98">
        <v>13</v>
      </c>
      <c r="E27" s="98"/>
      <c r="F27" s="33" t="s">
        <v>54</v>
      </c>
      <c r="G27" s="33" t="s">
        <v>116</v>
      </c>
      <c r="H27" s="79" t="s">
        <v>45</v>
      </c>
      <c r="I27" s="79" t="s">
        <v>47</v>
      </c>
      <c r="J27" s="39" t="s">
        <v>46</v>
      </c>
      <c r="K27" s="34">
        <v>109.375</v>
      </c>
      <c r="L27" s="38" t="s">
        <v>84</v>
      </c>
      <c r="M27" s="35">
        <v>43.625</v>
      </c>
      <c r="N27" s="35" t="s">
        <v>84</v>
      </c>
      <c r="O27" s="36">
        <v>1.25</v>
      </c>
      <c r="P27" s="36">
        <v>1</v>
      </c>
      <c r="Q27" s="36"/>
      <c r="R27" s="36"/>
      <c r="S27" s="36"/>
      <c r="T27" s="36"/>
      <c r="U27" s="71">
        <v>1</v>
      </c>
      <c r="V27" s="202">
        <v>3</v>
      </c>
      <c r="W27" s="50">
        <v>33.135308159722221</v>
      </c>
      <c r="X27" s="50">
        <v>33.135308159722221</v>
      </c>
      <c r="Y27" s="109">
        <v>26.48</v>
      </c>
      <c r="Z27" s="50">
        <v>26.48</v>
      </c>
      <c r="AA27" s="50">
        <v>3.0783708593750001</v>
      </c>
      <c r="AB27" s="50">
        <v>3.0783708593750001</v>
      </c>
      <c r="AC27" s="64">
        <v>4.01</v>
      </c>
      <c r="AD27" s="64"/>
      <c r="AE27" s="64"/>
      <c r="AF27" s="64"/>
      <c r="AG27" s="44">
        <v>539.63071572128899</v>
      </c>
      <c r="AH27" s="44">
        <v>244.73048332031246</v>
      </c>
    </row>
    <row r="28" spans="1:34" ht="22.5" customHeight="1">
      <c r="A28" s="89">
        <v>9</v>
      </c>
      <c r="B28" s="105" t="s">
        <v>73</v>
      </c>
      <c r="C28" s="33" t="s">
        <v>65</v>
      </c>
      <c r="D28" s="98">
        <v>16</v>
      </c>
      <c r="E28" s="98"/>
      <c r="F28" s="33" t="s">
        <v>54</v>
      </c>
      <c r="G28" s="33" t="s">
        <v>116</v>
      </c>
      <c r="H28" s="79" t="s">
        <v>45</v>
      </c>
      <c r="I28" s="79" t="s">
        <v>47</v>
      </c>
      <c r="J28" s="39" t="s">
        <v>46</v>
      </c>
      <c r="K28" s="34">
        <v>109.375</v>
      </c>
      <c r="L28" s="38" t="s">
        <v>84</v>
      </c>
      <c r="M28" s="35">
        <v>43.625</v>
      </c>
      <c r="N28" s="35" t="s">
        <v>84</v>
      </c>
      <c r="O28" s="36">
        <v>1.25</v>
      </c>
      <c r="P28" s="36">
        <v>4</v>
      </c>
      <c r="Q28" s="36"/>
      <c r="R28" s="36"/>
      <c r="S28" s="36"/>
      <c r="T28" s="36"/>
      <c r="U28" s="71">
        <v>4</v>
      </c>
      <c r="V28" s="203"/>
      <c r="W28" s="50">
        <v>33.135308159722221</v>
      </c>
      <c r="X28" s="50">
        <v>132.54123263888889</v>
      </c>
      <c r="Y28" s="109">
        <v>26.48</v>
      </c>
      <c r="Z28" s="50">
        <v>105.92</v>
      </c>
      <c r="AA28" s="50">
        <v>3.0783708593750001</v>
      </c>
      <c r="AB28" s="50">
        <v>12.3134834375</v>
      </c>
      <c r="AC28" s="64">
        <v>4.01</v>
      </c>
      <c r="AD28" s="64"/>
      <c r="AE28" s="64"/>
      <c r="AF28" s="64"/>
      <c r="AG28" s="44">
        <v>2158.522862885156</v>
      </c>
      <c r="AH28" s="44">
        <v>978.92193328124984</v>
      </c>
    </row>
    <row r="29" spans="1:34" ht="22.5" customHeight="1">
      <c r="A29" s="89">
        <v>10</v>
      </c>
      <c r="B29" s="104" t="s">
        <v>74</v>
      </c>
      <c r="C29" s="33" t="s">
        <v>65</v>
      </c>
      <c r="D29" s="98">
        <v>22</v>
      </c>
      <c r="E29" s="98"/>
      <c r="F29" s="33" t="s">
        <v>54</v>
      </c>
      <c r="G29" s="33" t="s">
        <v>116</v>
      </c>
      <c r="H29" s="79" t="s">
        <v>45</v>
      </c>
      <c r="I29" s="79" t="s">
        <v>47</v>
      </c>
      <c r="J29" s="39" t="s">
        <v>46</v>
      </c>
      <c r="K29" s="38">
        <v>90.125</v>
      </c>
      <c r="L29" s="35" t="s">
        <v>84</v>
      </c>
      <c r="M29" s="38">
        <v>43.625</v>
      </c>
      <c r="N29" s="35" t="s">
        <v>84</v>
      </c>
      <c r="O29" s="36">
        <v>1.25</v>
      </c>
      <c r="P29" s="36">
        <v>1</v>
      </c>
      <c r="Q29" s="36"/>
      <c r="R29" s="36"/>
      <c r="S29" s="36"/>
      <c r="T29" s="36"/>
      <c r="U29" s="71">
        <v>1</v>
      </c>
      <c r="V29" s="203"/>
      <c r="W29" s="50">
        <v>27.303493923611111</v>
      </c>
      <c r="X29" s="50">
        <v>27.303493923611111</v>
      </c>
      <c r="Y29" s="109">
        <v>27.28</v>
      </c>
      <c r="Z29" s="50">
        <v>27.28</v>
      </c>
      <c r="AA29" s="50">
        <v>2.5365775881250001</v>
      </c>
      <c r="AB29" s="50">
        <v>2.5365775881250001</v>
      </c>
      <c r="AC29" s="64">
        <v>4.01</v>
      </c>
      <c r="AD29" s="64"/>
      <c r="AE29" s="64"/>
      <c r="AF29" s="64"/>
      <c r="AG29" s="44">
        <v>444.65570975434218</v>
      </c>
      <c r="AH29" s="44">
        <v>201.65791825593749</v>
      </c>
    </row>
    <row r="30" spans="1:34" ht="22.5" customHeight="1">
      <c r="A30" s="89">
        <v>11</v>
      </c>
      <c r="B30" s="105" t="s">
        <v>76</v>
      </c>
      <c r="C30" s="33" t="s">
        <v>65</v>
      </c>
      <c r="D30" s="98">
        <v>44</v>
      </c>
      <c r="E30" s="98"/>
      <c r="F30" s="33" t="s">
        <v>54</v>
      </c>
      <c r="G30" s="33" t="s">
        <v>116</v>
      </c>
      <c r="H30" s="79" t="s">
        <v>58</v>
      </c>
      <c r="I30" s="79" t="s">
        <v>47</v>
      </c>
      <c r="J30" s="39" t="s">
        <v>46</v>
      </c>
      <c r="K30" s="34">
        <v>102.875</v>
      </c>
      <c r="L30" s="35" t="s">
        <v>84</v>
      </c>
      <c r="M30" s="35">
        <v>43.625</v>
      </c>
      <c r="N30" s="35" t="s">
        <v>84</v>
      </c>
      <c r="O30" s="36">
        <v>1.25</v>
      </c>
      <c r="P30" s="36">
        <v>1</v>
      </c>
      <c r="Q30" s="36"/>
      <c r="R30" s="36"/>
      <c r="S30" s="36"/>
      <c r="T30" s="36"/>
      <c r="U30" s="71">
        <v>1</v>
      </c>
      <c r="V30" s="204"/>
      <c r="W30" s="50">
        <v>31.166124131944443</v>
      </c>
      <c r="X30" s="50">
        <v>31.166124131944443</v>
      </c>
      <c r="Y30" s="109">
        <v>31.15</v>
      </c>
      <c r="Z30" s="50">
        <v>31.15</v>
      </c>
      <c r="AA30" s="50">
        <v>2.8954276768750002</v>
      </c>
      <c r="AB30" s="50">
        <v>2.8954276768750002</v>
      </c>
      <c r="AC30" s="64">
        <v>4.01</v>
      </c>
      <c r="AD30" s="64"/>
      <c r="AE30" s="64"/>
      <c r="AF30" s="64"/>
      <c r="AG30" s="44">
        <v>507.56123318699531</v>
      </c>
      <c r="AH30" s="44">
        <v>230.1865003115625</v>
      </c>
    </row>
    <row r="31" spans="1:34" ht="22.5" customHeight="1">
      <c r="A31" s="89"/>
      <c r="B31" s="105"/>
      <c r="C31" s="33"/>
      <c r="D31" s="98"/>
      <c r="E31" s="98"/>
      <c r="F31" s="33"/>
      <c r="G31" s="33"/>
      <c r="H31" s="79"/>
      <c r="I31" s="79"/>
      <c r="J31" s="39"/>
      <c r="K31" s="34"/>
      <c r="L31" s="38"/>
      <c r="M31" s="35"/>
      <c r="N31" s="35"/>
      <c r="O31" s="36"/>
      <c r="P31" s="36"/>
      <c r="Q31" s="36"/>
      <c r="R31" s="36"/>
      <c r="S31" s="36"/>
      <c r="T31" s="36"/>
      <c r="U31" s="120">
        <f>SUBTOTAL(9,U27:U30)</f>
        <v>7</v>
      </c>
      <c r="V31" s="139"/>
      <c r="W31" s="129"/>
      <c r="X31" s="129"/>
      <c r="Y31" s="130"/>
      <c r="Z31" s="129"/>
      <c r="AA31" s="129"/>
      <c r="AB31" s="129"/>
      <c r="AC31" s="77"/>
      <c r="AD31" s="64"/>
      <c r="AE31" s="64"/>
      <c r="AF31" s="64"/>
      <c r="AG31" s="131">
        <f>SUBTOTAL(9,AG27:AG30)</f>
        <v>3650.3705215477826</v>
      </c>
      <c r="AH31" s="131">
        <f>SUBTOTAL(9,AH27:AH30)</f>
        <v>1655.496835169062</v>
      </c>
    </row>
    <row r="32" spans="1:34" ht="22.5" customHeight="1">
      <c r="A32" s="89">
        <v>12</v>
      </c>
      <c r="B32" s="105" t="s">
        <v>70</v>
      </c>
      <c r="C32" s="33" t="s">
        <v>43</v>
      </c>
      <c r="D32" s="98">
        <v>1</v>
      </c>
      <c r="E32" s="98"/>
      <c r="F32" s="33" t="s">
        <v>54</v>
      </c>
      <c r="G32" s="33" t="s">
        <v>116</v>
      </c>
      <c r="H32" s="79" t="s">
        <v>58</v>
      </c>
      <c r="I32" s="79" t="s">
        <v>47</v>
      </c>
      <c r="J32" s="39" t="s">
        <v>46</v>
      </c>
      <c r="K32" s="34">
        <v>97.375</v>
      </c>
      <c r="L32" s="38" t="s">
        <v>84</v>
      </c>
      <c r="M32" s="35">
        <v>43.625</v>
      </c>
      <c r="N32" s="35" t="s">
        <v>84</v>
      </c>
      <c r="O32" s="36">
        <v>1.25</v>
      </c>
      <c r="P32" s="36"/>
      <c r="Q32" s="36">
        <v>2</v>
      </c>
      <c r="R32" s="36"/>
      <c r="S32" s="36"/>
      <c r="T32" s="36"/>
      <c r="U32" s="71">
        <v>2</v>
      </c>
      <c r="V32" s="202">
        <v>4</v>
      </c>
      <c r="W32" s="50">
        <v>29.499891493055557</v>
      </c>
      <c r="X32" s="50">
        <v>58.999782986111114</v>
      </c>
      <c r="Y32" s="109">
        <v>29.49</v>
      </c>
      <c r="Z32" s="50">
        <v>58.98</v>
      </c>
      <c r="AA32" s="50">
        <v>2.7406295993750005</v>
      </c>
      <c r="AB32" s="50">
        <v>5.481259198750001</v>
      </c>
      <c r="AC32" s="64">
        <v>4.01</v>
      </c>
      <c r="AD32" s="64"/>
      <c r="AE32" s="64"/>
      <c r="AF32" s="64"/>
      <c r="AG32" s="44">
        <v>960.85103439287832</v>
      </c>
      <c r="AH32" s="44">
        <v>435.76010630062507</v>
      </c>
    </row>
    <row r="33" spans="1:34" ht="22.5" customHeight="1">
      <c r="A33" s="89">
        <v>13</v>
      </c>
      <c r="B33" s="105" t="s">
        <v>70</v>
      </c>
      <c r="C33" s="33" t="s">
        <v>65</v>
      </c>
      <c r="D33" s="98">
        <v>3</v>
      </c>
      <c r="E33" s="98"/>
      <c r="F33" s="33" t="s">
        <v>54</v>
      </c>
      <c r="G33" s="33" t="s">
        <v>116</v>
      </c>
      <c r="H33" s="79" t="s">
        <v>58</v>
      </c>
      <c r="I33" s="79" t="s">
        <v>47</v>
      </c>
      <c r="J33" s="39" t="s">
        <v>46</v>
      </c>
      <c r="K33" s="34">
        <v>97.375</v>
      </c>
      <c r="L33" s="38" t="s">
        <v>84</v>
      </c>
      <c r="M33" s="35">
        <v>43.625</v>
      </c>
      <c r="N33" s="35" t="s">
        <v>84</v>
      </c>
      <c r="O33" s="36">
        <v>1.25</v>
      </c>
      <c r="P33" s="36"/>
      <c r="Q33" s="36">
        <v>2</v>
      </c>
      <c r="R33" s="36"/>
      <c r="S33" s="36"/>
      <c r="T33" s="36"/>
      <c r="U33" s="71">
        <v>2</v>
      </c>
      <c r="V33" s="203"/>
      <c r="W33" s="50">
        <v>29.499891493055557</v>
      </c>
      <c r="X33" s="50">
        <v>58.999782986111114</v>
      </c>
      <c r="Y33" s="109">
        <v>29.49</v>
      </c>
      <c r="Z33" s="50">
        <v>58.98</v>
      </c>
      <c r="AA33" s="50">
        <v>2.7406295993750005</v>
      </c>
      <c r="AB33" s="50">
        <v>5.481259198750001</v>
      </c>
      <c r="AC33" s="64">
        <v>4.01</v>
      </c>
      <c r="AD33" s="64"/>
      <c r="AE33" s="64"/>
      <c r="AF33" s="64"/>
      <c r="AG33" s="44">
        <v>960.85103439287832</v>
      </c>
      <c r="AH33" s="44">
        <v>435.76010630062507</v>
      </c>
    </row>
    <row r="34" spans="1:34" ht="22.5" customHeight="1">
      <c r="A34" s="89">
        <v>14</v>
      </c>
      <c r="B34" s="105" t="s">
        <v>75</v>
      </c>
      <c r="C34" s="33" t="s">
        <v>65</v>
      </c>
      <c r="D34" s="98">
        <v>29</v>
      </c>
      <c r="E34" s="98"/>
      <c r="F34" s="33" t="s">
        <v>54</v>
      </c>
      <c r="G34" s="33" t="s">
        <v>116</v>
      </c>
      <c r="H34" s="79" t="s">
        <v>58</v>
      </c>
      <c r="I34" s="79" t="s">
        <v>47</v>
      </c>
      <c r="J34" s="39" t="s">
        <v>46</v>
      </c>
      <c r="K34" s="34">
        <v>78</v>
      </c>
      <c r="L34" s="38" t="s">
        <v>84</v>
      </c>
      <c r="M34" s="108">
        <v>29.75</v>
      </c>
      <c r="N34" s="35" t="s">
        <v>84</v>
      </c>
      <c r="O34" s="36">
        <v>1.25</v>
      </c>
      <c r="P34" s="36"/>
      <c r="Q34" s="36">
        <v>2</v>
      </c>
      <c r="R34" s="36"/>
      <c r="S34" s="36"/>
      <c r="T34" s="36"/>
      <c r="U34" s="71">
        <v>2</v>
      </c>
      <c r="V34" s="203"/>
      <c r="W34" s="50">
        <v>16.114583333333332</v>
      </c>
      <c r="X34" s="50">
        <v>32.229166666666664</v>
      </c>
      <c r="Y34" s="109">
        <v>11.74</v>
      </c>
      <c r="Z34" s="50">
        <v>23.48</v>
      </c>
      <c r="AA34" s="50">
        <v>1.4970937799999999</v>
      </c>
      <c r="AB34" s="50">
        <v>2.9941875599999999</v>
      </c>
      <c r="AC34" s="64">
        <v>4.01</v>
      </c>
      <c r="AD34" s="64"/>
      <c r="AE34" s="64"/>
      <c r="AF34" s="64"/>
      <c r="AG34" s="44">
        <v>524.87359379909992</v>
      </c>
      <c r="AH34" s="44">
        <v>238.03791101999997</v>
      </c>
    </row>
    <row r="35" spans="1:34" ht="22.5" customHeight="1">
      <c r="A35" s="89">
        <v>15</v>
      </c>
      <c r="B35" s="104" t="s">
        <v>75</v>
      </c>
      <c r="C35" s="33" t="s">
        <v>65</v>
      </c>
      <c r="D35" s="98">
        <v>29</v>
      </c>
      <c r="E35" s="98"/>
      <c r="F35" s="33" t="s">
        <v>54</v>
      </c>
      <c r="G35" s="33" t="s">
        <v>116</v>
      </c>
      <c r="H35" s="79" t="s">
        <v>58</v>
      </c>
      <c r="I35" s="79" t="s">
        <v>47</v>
      </c>
      <c r="J35" s="39" t="s">
        <v>46</v>
      </c>
      <c r="K35" s="38">
        <v>78</v>
      </c>
      <c r="L35" s="35" t="s">
        <v>84</v>
      </c>
      <c r="M35" s="119">
        <v>28.875</v>
      </c>
      <c r="N35" s="35" t="s">
        <v>84</v>
      </c>
      <c r="O35" s="36">
        <v>1.25</v>
      </c>
      <c r="P35" s="36"/>
      <c r="Q35" s="36">
        <v>2</v>
      </c>
      <c r="R35" s="36"/>
      <c r="S35" s="36"/>
      <c r="T35" s="36"/>
      <c r="U35" s="71">
        <v>2</v>
      </c>
      <c r="V35" s="204"/>
      <c r="W35" s="50">
        <v>15.640625</v>
      </c>
      <c r="X35" s="50">
        <v>31.28125</v>
      </c>
      <c r="Y35" s="81">
        <v>15.640625</v>
      </c>
      <c r="Z35" s="50">
        <v>31.28125</v>
      </c>
      <c r="AA35" s="50">
        <v>1.45306161</v>
      </c>
      <c r="AB35" s="50">
        <v>2.90612322</v>
      </c>
      <c r="AC35" s="64">
        <v>4.01</v>
      </c>
      <c r="AD35" s="64"/>
      <c r="AE35" s="64"/>
      <c r="AF35" s="64"/>
      <c r="AG35" s="44">
        <v>509.43613515795005</v>
      </c>
      <c r="AH35" s="44">
        <v>231.03679599</v>
      </c>
    </row>
    <row r="36" spans="1:34" ht="22.5" customHeight="1">
      <c r="A36" s="89"/>
      <c r="B36" s="105"/>
      <c r="C36" s="33"/>
      <c r="D36" s="98"/>
      <c r="E36" s="98"/>
      <c r="F36" s="33"/>
      <c r="G36" s="33"/>
      <c r="H36" s="79"/>
      <c r="I36" s="79"/>
      <c r="J36" s="39"/>
      <c r="K36" s="38"/>
      <c r="L36" s="35"/>
      <c r="M36" s="119"/>
      <c r="N36" s="35"/>
      <c r="O36" s="36"/>
      <c r="P36" s="36"/>
      <c r="Q36" s="36"/>
      <c r="R36" s="36"/>
      <c r="S36" s="36"/>
      <c r="T36" s="36"/>
      <c r="U36" s="120">
        <f>SUBTOTAL(9,U32:U35)</f>
        <v>8</v>
      </c>
      <c r="V36" s="139"/>
      <c r="W36" s="129"/>
      <c r="X36" s="129"/>
      <c r="Y36" s="132"/>
      <c r="Z36" s="129"/>
      <c r="AA36" s="129"/>
      <c r="AB36" s="129"/>
      <c r="AC36" s="77"/>
      <c r="AD36" s="64"/>
      <c r="AE36" s="64"/>
      <c r="AF36" s="64"/>
      <c r="AG36" s="131">
        <f>SUBTOTAL(9,AG32:AG35)</f>
        <v>2956.0117977428067</v>
      </c>
      <c r="AH36" s="131">
        <f>SUBTOTAL(9,AH32:AH35)</f>
        <v>1340.5949196112501</v>
      </c>
    </row>
    <row r="37" spans="1:34" ht="22.5" customHeight="1">
      <c r="A37" s="89">
        <v>16</v>
      </c>
      <c r="B37" s="105" t="s">
        <v>71</v>
      </c>
      <c r="C37" s="33" t="s">
        <v>65</v>
      </c>
      <c r="D37" s="98">
        <v>5</v>
      </c>
      <c r="E37" s="98"/>
      <c r="F37" s="33" t="s">
        <v>54</v>
      </c>
      <c r="G37" s="33" t="s">
        <v>116</v>
      </c>
      <c r="H37" s="79" t="s">
        <v>58</v>
      </c>
      <c r="I37" s="79" t="s">
        <v>47</v>
      </c>
      <c r="J37" s="39" t="s">
        <v>46</v>
      </c>
      <c r="K37" s="34">
        <v>87.25</v>
      </c>
      <c r="L37" s="35" t="s">
        <v>84</v>
      </c>
      <c r="M37" s="35">
        <v>43.625</v>
      </c>
      <c r="N37" s="35" t="s">
        <v>84</v>
      </c>
      <c r="O37" s="36">
        <v>1.25</v>
      </c>
      <c r="P37" s="36"/>
      <c r="Q37" s="36">
        <v>1</v>
      </c>
      <c r="R37" s="36"/>
      <c r="S37" s="36"/>
      <c r="T37" s="36"/>
      <c r="U37" s="71">
        <v>1</v>
      </c>
      <c r="V37" s="202">
        <v>5</v>
      </c>
      <c r="W37" s="50">
        <v>26.432508680555557</v>
      </c>
      <c r="X37" s="50">
        <v>26.432508680555557</v>
      </c>
      <c r="Y37" s="109">
        <v>26.42</v>
      </c>
      <c r="Z37" s="50">
        <v>26.42</v>
      </c>
      <c r="AA37" s="50">
        <v>2.4556604112500002</v>
      </c>
      <c r="AB37" s="50">
        <v>2.4556604112500002</v>
      </c>
      <c r="AC37" s="64">
        <v>4.01</v>
      </c>
      <c r="AD37" s="64"/>
      <c r="AE37" s="64"/>
      <c r="AF37" s="64"/>
      <c r="AG37" s="44">
        <v>430.47113094109693</v>
      </c>
      <c r="AH37" s="44">
        <v>195.22500269437501</v>
      </c>
    </row>
    <row r="38" spans="1:34" ht="22.5" customHeight="1">
      <c r="A38" s="89">
        <v>17</v>
      </c>
      <c r="B38" s="105" t="s">
        <v>72</v>
      </c>
      <c r="C38" s="33" t="s">
        <v>43</v>
      </c>
      <c r="D38" s="98">
        <v>7</v>
      </c>
      <c r="E38" s="98"/>
      <c r="F38" s="33" t="s">
        <v>54</v>
      </c>
      <c r="G38" s="33" t="s">
        <v>116</v>
      </c>
      <c r="H38" s="79" t="s">
        <v>58</v>
      </c>
      <c r="I38" s="79" t="s">
        <v>47</v>
      </c>
      <c r="J38" s="39" t="s">
        <v>46</v>
      </c>
      <c r="K38" s="34">
        <v>98.25</v>
      </c>
      <c r="L38" s="38" t="s">
        <v>84</v>
      </c>
      <c r="M38" s="35">
        <v>43.625</v>
      </c>
      <c r="N38" s="35" t="s">
        <v>84</v>
      </c>
      <c r="O38" s="36">
        <v>1.25</v>
      </c>
      <c r="P38" s="36"/>
      <c r="Q38" s="36">
        <v>3</v>
      </c>
      <c r="R38" s="36"/>
      <c r="S38" s="36"/>
      <c r="T38" s="36"/>
      <c r="U38" s="71">
        <v>3</v>
      </c>
      <c r="V38" s="203"/>
      <c r="W38" s="50">
        <v>29.764973958333332</v>
      </c>
      <c r="X38" s="50">
        <v>89.294921875</v>
      </c>
      <c r="Y38" s="109">
        <v>29.75</v>
      </c>
      <c r="Z38" s="50">
        <v>89.25</v>
      </c>
      <c r="AA38" s="50">
        <v>2.7652565662500002</v>
      </c>
      <c r="AB38" s="50">
        <v>8.29576969875</v>
      </c>
      <c r="AC38" s="64">
        <v>4.01</v>
      </c>
      <c r="AD38" s="64"/>
      <c r="AE38" s="64"/>
      <c r="AF38" s="64"/>
      <c r="AG38" s="44">
        <v>1454.227688766628</v>
      </c>
      <c r="AH38" s="44">
        <v>659.51369105062497</v>
      </c>
    </row>
    <row r="39" spans="1:34" ht="22.5" customHeight="1">
      <c r="A39" s="89">
        <v>18</v>
      </c>
      <c r="B39" s="105" t="s">
        <v>72</v>
      </c>
      <c r="C39" s="33" t="s">
        <v>65</v>
      </c>
      <c r="D39" s="98">
        <v>10</v>
      </c>
      <c r="E39" s="98"/>
      <c r="F39" s="33" t="s">
        <v>54</v>
      </c>
      <c r="G39" s="33" t="s">
        <v>116</v>
      </c>
      <c r="H39" s="79" t="s">
        <v>58</v>
      </c>
      <c r="I39" s="79" t="s">
        <v>47</v>
      </c>
      <c r="J39" s="39" t="s">
        <v>46</v>
      </c>
      <c r="K39" s="34">
        <v>98.25</v>
      </c>
      <c r="L39" s="38" t="s">
        <v>84</v>
      </c>
      <c r="M39" s="35">
        <v>43.625</v>
      </c>
      <c r="N39" s="35" t="s">
        <v>84</v>
      </c>
      <c r="O39" s="36">
        <v>1.25</v>
      </c>
      <c r="P39" s="36"/>
      <c r="Q39" s="36">
        <v>3</v>
      </c>
      <c r="R39" s="36"/>
      <c r="S39" s="36"/>
      <c r="T39" s="36"/>
      <c r="U39" s="71">
        <v>3</v>
      </c>
      <c r="V39" s="204"/>
      <c r="W39" s="50">
        <v>29.764973958333332</v>
      </c>
      <c r="X39" s="50">
        <v>89.294921875</v>
      </c>
      <c r="Y39" s="109">
        <v>29.75</v>
      </c>
      <c r="Z39" s="50">
        <v>89.25</v>
      </c>
      <c r="AA39" s="50">
        <v>2.7652565662500002</v>
      </c>
      <c r="AB39" s="50">
        <v>8.29576969875</v>
      </c>
      <c r="AC39" s="64">
        <v>4.01</v>
      </c>
      <c r="AD39" s="64"/>
      <c r="AE39" s="64"/>
      <c r="AF39" s="64"/>
      <c r="AG39" s="44">
        <v>1454.227688766628</v>
      </c>
      <c r="AH39" s="44">
        <v>659.51369105062497</v>
      </c>
    </row>
    <row r="40" spans="1:34" ht="22.5" customHeight="1">
      <c r="A40" s="89"/>
      <c r="B40" s="105"/>
      <c r="C40" s="33"/>
      <c r="D40" s="98"/>
      <c r="E40" s="98"/>
      <c r="F40" s="33"/>
      <c r="G40" s="33"/>
      <c r="H40" s="79"/>
      <c r="I40" s="79"/>
      <c r="J40" s="39"/>
      <c r="K40" s="34"/>
      <c r="L40" s="38"/>
      <c r="M40" s="35"/>
      <c r="N40" s="35"/>
      <c r="O40" s="36"/>
      <c r="P40" s="36"/>
      <c r="Q40" s="36"/>
      <c r="R40" s="36"/>
      <c r="S40" s="36"/>
      <c r="T40" s="36"/>
      <c r="U40" s="120">
        <f>SUBTOTAL(9,U37:U39)</f>
        <v>7</v>
      </c>
      <c r="V40" s="139"/>
      <c r="W40" s="129"/>
      <c r="X40" s="129"/>
      <c r="Y40" s="130"/>
      <c r="Z40" s="129"/>
      <c r="AA40" s="129"/>
      <c r="AB40" s="129"/>
      <c r="AC40" s="77"/>
      <c r="AD40" s="64"/>
      <c r="AE40" s="64"/>
      <c r="AF40" s="64"/>
      <c r="AG40" s="131">
        <f>SUBTOTAL(9,AG37:AG39)</f>
        <v>3338.9265084743529</v>
      </c>
      <c r="AH40" s="131">
        <f>SUBTOTAL(9,AH37:AH39)</f>
        <v>1514.2523847956249</v>
      </c>
    </row>
    <row r="41" spans="1:34" ht="22.5" customHeight="1">
      <c r="A41" s="89">
        <v>19</v>
      </c>
      <c r="B41" s="105" t="s">
        <v>73</v>
      </c>
      <c r="C41" s="33" t="s">
        <v>43</v>
      </c>
      <c r="D41" s="98">
        <v>13</v>
      </c>
      <c r="E41" s="98"/>
      <c r="F41" s="33" t="s">
        <v>54</v>
      </c>
      <c r="G41" s="33" t="s">
        <v>116</v>
      </c>
      <c r="H41" s="79" t="s">
        <v>45</v>
      </c>
      <c r="I41" s="79" t="s">
        <v>47</v>
      </c>
      <c r="J41" s="39" t="s">
        <v>46</v>
      </c>
      <c r="K41" s="34">
        <v>109.375</v>
      </c>
      <c r="L41" s="38" t="s">
        <v>84</v>
      </c>
      <c r="M41" s="35">
        <v>43.625</v>
      </c>
      <c r="N41" s="35" t="s">
        <v>84</v>
      </c>
      <c r="O41" s="36">
        <v>1.25</v>
      </c>
      <c r="P41" s="36"/>
      <c r="Q41" s="36">
        <v>1</v>
      </c>
      <c r="R41" s="36"/>
      <c r="S41" s="36"/>
      <c r="T41" s="36"/>
      <c r="U41" s="71">
        <v>1</v>
      </c>
      <c r="V41" s="202">
        <v>6</v>
      </c>
      <c r="W41" s="50">
        <v>33.135308159722221</v>
      </c>
      <c r="X41" s="50">
        <v>33.135308159722221</v>
      </c>
      <c r="Y41" s="109">
        <v>26.48</v>
      </c>
      <c r="Z41" s="50">
        <v>26.48</v>
      </c>
      <c r="AA41" s="50">
        <v>3.0783708593750001</v>
      </c>
      <c r="AB41" s="50">
        <v>3.0783708593750001</v>
      </c>
      <c r="AC41" s="64">
        <v>4.01</v>
      </c>
      <c r="AD41" s="64"/>
      <c r="AE41" s="64"/>
      <c r="AF41" s="64"/>
      <c r="AG41" s="44">
        <v>539.63071572128899</v>
      </c>
      <c r="AH41" s="44">
        <v>244.73048332031246</v>
      </c>
    </row>
    <row r="42" spans="1:34" ht="22.5" customHeight="1">
      <c r="A42" s="89">
        <v>20</v>
      </c>
      <c r="B42" s="104" t="s">
        <v>73</v>
      </c>
      <c r="C42" s="33" t="s">
        <v>65</v>
      </c>
      <c r="D42" s="98">
        <v>16</v>
      </c>
      <c r="E42" s="98"/>
      <c r="F42" s="33" t="s">
        <v>54</v>
      </c>
      <c r="G42" s="33" t="s">
        <v>116</v>
      </c>
      <c r="H42" s="79" t="s">
        <v>45</v>
      </c>
      <c r="I42" s="79" t="s">
        <v>47</v>
      </c>
      <c r="J42" s="39" t="s">
        <v>46</v>
      </c>
      <c r="K42" s="38">
        <v>109.375</v>
      </c>
      <c r="L42" s="35" t="s">
        <v>84</v>
      </c>
      <c r="M42" s="38">
        <v>43.625</v>
      </c>
      <c r="N42" s="35" t="s">
        <v>84</v>
      </c>
      <c r="O42" s="36">
        <v>1.25</v>
      </c>
      <c r="P42" s="36"/>
      <c r="Q42" s="36">
        <v>4</v>
      </c>
      <c r="R42" s="36"/>
      <c r="S42" s="36"/>
      <c r="T42" s="36"/>
      <c r="U42" s="71">
        <v>4</v>
      </c>
      <c r="V42" s="203"/>
      <c r="W42" s="50">
        <v>33.135308159722221</v>
      </c>
      <c r="X42" s="50">
        <v>132.54123263888889</v>
      </c>
      <c r="Y42" s="109">
        <v>26.48</v>
      </c>
      <c r="Z42" s="50">
        <v>105.92</v>
      </c>
      <c r="AA42" s="50">
        <v>3.0783708593750001</v>
      </c>
      <c r="AB42" s="50">
        <v>12.3134834375</v>
      </c>
      <c r="AC42" s="64">
        <v>4.01</v>
      </c>
      <c r="AD42" s="64"/>
      <c r="AE42" s="64"/>
      <c r="AF42" s="64"/>
      <c r="AG42" s="44">
        <v>2158.522862885156</v>
      </c>
      <c r="AH42" s="44">
        <v>978.92193328124984</v>
      </c>
    </row>
    <row r="43" spans="1:34" ht="22.5" customHeight="1">
      <c r="A43" s="89">
        <v>21</v>
      </c>
      <c r="B43" s="105" t="s">
        <v>74</v>
      </c>
      <c r="C43" s="33" t="s">
        <v>65</v>
      </c>
      <c r="D43" s="98">
        <v>22</v>
      </c>
      <c r="E43" s="98"/>
      <c r="F43" s="33" t="s">
        <v>54</v>
      </c>
      <c r="G43" s="33" t="s">
        <v>116</v>
      </c>
      <c r="H43" s="79" t="s">
        <v>45</v>
      </c>
      <c r="I43" s="79" t="s">
        <v>47</v>
      </c>
      <c r="J43" s="39" t="s">
        <v>46</v>
      </c>
      <c r="K43" s="34">
        <v>90.125</v>
      </c>
      <c r="L43" s="35" t="s">
        <v>84</v>
      </c>
      <c r="M43" s="35">
        <v>43.625</v>
      </c>
      <c r="N43" s="35" t="s">
        <v>84</v>
      </c>
      <c r="O43" s="36">
        <v>1.25</v>
      </c>
      <c r="P43" s="36"/>
      <c r="Q43" s="36">
        <v>1</v>
      </c>
      <c r="R43" s="36"/>
      <c r="S43" s="36"/>
      <c r="T43" s="36"/>
      <c r="U43" s="71">
        <v>1</v>
      </c>
      <c r="V43" s="203"/>
      <c r="W43" s="50">
        <v>27.303493923611111</v>
      </c>
      <c r="X43" s="50">
        <v>27.303493923611111</v>
      </c>
      <c r="Y43" s="109">
        <v>27.28</v>
      </c>
      <c r="Z43" s="50">
        <v>27.28</v>
      </c>
      <c r="AA43" s="50">
        <v>2.5365775881250001</v>
      </c>
      <c r="AB43" s="50">
        <v>2.5365775881250001</v>
      </c>
      <c r="AC43" s="64">
        <v>4.01</v>
      </c>
      <c r="AD43" s="64"/>
      <c r="AE43" s="64"/>
      <c r="AF43" s="64"/>
      <c r="AG43" s="44">
        <v>444.65570975434218</v>
      </c>
      <c r="AH43" s="44">
        <v>201.65791825593749</v>
      </c>
    </row>
    <row r="44" spans="1:34" ht="22.5" customHeight="1">
      <c r="A44" s="89">
        <v>22</v>
      </c>
      <c r="B44" s="105" t="s">
        <v>76</v>
      </c>
      <c r="C44" s="33" t="s">
        <v>65</v>
      </c>
      <c r="D44" s="98">
        <v>44</v>
      </c>
      <c r="E44" s="98"/>
      <c r="F44" s="33" t="s">
        <v>54</v>
      </c>
      <c r="G44" s="33" t="s">
        <v>116</v>
      </c>
      <c r="H44" s="79" t="s">
        <v>58</v>
      </c>
      <c r="I44" s="79" t="s">
        <v>47</v>
      </c>
      <c r="J44" s="39" t="s">
        <v>46</v>
      </c>
      <c r="K44" s="34">
        <v>102.875</v>
      </c>
      <c r="L44" s="38" t="s">
        <v>84</v>
      </c>
      <c r="M44" s="35">
        <v>43.625</v>
      </c>
      <c r="N44" s="35" t="s">
        <v>84</v>
      </c>
      <c r="O44" s="36">
        <v>1.25</v>
      </c>
      <c r="P44" s="36"/>
      <c r="Q44" s="36">
        <v>1</v>
      </c>
      <c r="R44" s="36"/>
      <c r="S44" s="36"/>
      <c r="T44" s="36"/>
      <c r="U44" s="71">
        <v>1</v>
      </c>
      <c r="V44" s="204"/>
      <c r="W44" s="50">
        <v>31.166124131944443</v>
      </c>
      <c r="X44" s="50">
        <v>31.166124131944443</v>
      </c>
      <c r="Y44" s="109">
        <v>31.15</v>
      </c>
      <c r="Z44" s="50">
        <v>31.15</v>
      </c>
      <c r="AA44" s="50">
        <v>2.8954276768750002</v>
      </c>
      <c r="AB44" s="50">
        <v>2.8954276768750002</v>
      </c>
      <c r="AC44" s="64">
        <v>4.01</v>
      </c>
      <c r="AD44" s="64"/>
      <c r="AE44" s="64"/>
      <c r="AF44" s="64"/>
      <c r="AG44" s="44">
        <v>507.56123318699531</v>
      </c>
      <c r="AH44" s="44">
        <v>230.1865003115625</v>
      </c>
    </row>
    <row r="45" spans="1:34" ht="22.5" customHeight="1">
      <c r="A45" s="89"/>
      <c r="B45" s="105"/>
      <c r="C45" s="33"/>
      <c r="D45" s="98"/>
      <c r="E45" s="98"/>
      <c r="F45" s="33"/>
      <c r="G45" s="33"/>
      <c r="H45" s="79"/>
      <c r="I45" s="79"/>
      <c r="J45" s="39"/>
      <c r="K45" s="34"/>
      <c r="L45" s="38"/>
      <c r="M45" s="35"/>
      <c r="N45" s="35"/>
      <c r="O45" s="36"/>
      <c r="P45" s="36"/>
      <c r="Q45" s="36"/>
      <c r="R45" s="36"/>
      <c r="S45" s="36"/>
      <c r="T45" s="36"/>
      <c r="U45" s="120">
        <f>SUBTOTAL(9,U41:U44)</f>
        <v>7</v>
      </c>
      <c r="V45" s="139"/>
      <c r="W45" s="129"/>
      <c r="X45" s="129"/>
      <c r="Y45" s="130"/>
      <c r="Z45" s="129"/>
      <c r="AA45" s="129"/>
      <c r="AB45" s="129"/>
      <c r="AC45" s="77"/>
      <c r="AD45" s="64"/>
      <c r="AE45" s="64"/>
      <c r="AF45" s="64"/>
      <c r="AG45" s="131">
        <f>SUBTOTAL(9,AG41:AG44)</f>
        <v>3650.3705215477826</v>
      </c>
      <c r="AH45" s="131">
        <f>SUBTOTAL(9,AH41:AH44)</f>
        <v>1655.496835169062</v>
      </c>
    </row>
    <row r="46" spans="1:34" ht="22.5" customHeight="1">
      <c r="A46" s="89">
        <v>23</v>
      </c>
      <c r="B46" s="105" t="s">
        <v>70</v>
      </c>
      <c r="C46" s="33" t="s">
        <v>43</v>
      </c>
      <c r="D46" s="98">
        <v>1</v>
      </c>
      <c r="E46" s="98"/>
      <c r="F46" s="33" t="s">
        <v>54</v>
      </c>
      <c r="G46" s="33" t="s">
        <v>116</v>
      </c>
      <c r="H46" s="79" t="s">
        <v>58</v>
      </c>
      <c r="I46" s="79" t="s">
        <v>47</v>
      </c>
      <c r="J46" s="39" t="s">
        <v>46</v>
      </c>
      <c r="K46" s="34">
        <v>22.75</v>
      </c>
      <c r="L46" s="38" t="s">
        <v>84</v>
      </c>
      <c r="M46" s="35">
        <v>25.5</v>
      </c>
      <c r="N46" s="35" t="s">
        <v>84</v>
      </c>
      <c r="O46" s="36">
        <v>1.25</v>
      </c>
      <c r="P46" s="36">
        <v>2</v>
      </c>
      <c r="Q46" s="36"/>
      <c r="R46" s="36"/>
      <c r="S46" s="36"/>
      <c r="T46" s="36"/>
      <c r="U46" s="71">
        <v>2</v>
      </c>
      <c r="V46" s="202">
        <v>7</v>
      </c>
      <c r="W46" s="50">
        <v>4.028645833333333</v>
      </c>
      <c r="X46" s="50">
        <v>8.0572916666666661</v>
      </c>
      <c r="Y46" s="81">
        <v>4.028645833333333</v>
      </c>
      <c r="Z46" s="50">
        <v>8.0572916666666661</v>
      </c>
      <c r="AA46" s="50">
        <v>0.37427344499999998</v>
      </c>
      <c r="AB46" s="50">
        <v>0.74854688999999996</v>
      </c>
      <c r="AC46" s="64">
        <v>3.71</v>
      </c>
      <c r="AD46" s="64"/>
      <c r="AE46" s="64"/>
      <c r="AF46" s="64"/>
      <c r="AG46" s="44">
        <v>131.21839844977498</v>
      </c>
      <c r="AH46" s="44">
        <v>59.509477754999992</v>
      </c>
    </row>
    <row r="47" spans="1:34" ht="22.5" customHeight="1">
      <c r="A47" s="89">
        <v>24</v>
      </c>
      <c r="B47" s="105" t="s">
        <v>70</v>
      </c>
      <c r="C47" s="33" t="s">
        <v>43</v>
      </c>
      <c r="D47" s="98">
        <v>1</v>
      </c>
      <c r="E47" s="98"/>
      <c r="F47" s="33" t="s">
        <v>54</v>
      </c>
      <c r="G47" s="33" t="s">
        <v>116</v>
      </c>
      <c r="H47" s="79" t="s">
        <v>58</v>
      </c>
      <c r="I47" s="79" t="s">
        <v>47</v>
      </c>
      <c r="J47" s="39" t="s">
        <v>46</v>
      </c>
      <c r="K47" s="34">
        <v>45.75</v>
      </c>
      <c r="L47" s="38" t="s">
        <v>84</v>
      </c>
      <c r="M47" s="35">
        <v>25.5</v>
      </c>
      <c r="N47" s="35" t="s">
        <v>84</v>
      </c>
      <c r="O47" s="36">
        <v>1.25</v>
      </c>
      <c r="P47" s="36">
        <v>2</v>
      </c>
      <c r="Q47" s="36"/>
      <c r="R47" s="36"/>
      <c r="S47" s="36"/>
      <c r="T47" s="36"/>
      <c r="U47" s="71">
        <v>2</v>
      </c>
      <c r="V47" s="203"/>
      <c r="W47" s="50">
        <v>8.1015625</v>
      </c>
      <c r="X47" s="50">
        <v>16.203125</v>
      </c>
      <c r="Y47" s="81">
        <v>8.1015625</v>
      </c>
      <c r="Z47" s="50">
        <v>16.203125</v>
      </c>
      <c r="AA47" s="50">
        <v>0.75265978500000008</v>
      </c>
      <c r="AB47" s="50">
        <v>1.5053195700000002</v>
      </c>
      <c r="AC47" s="64">
        <v>3.71</v>
      </c>
      <c r="AD47" s="64"/>
      <c r="AE47" s="64"/>
      <c r="AF47" s="64"/>
      <c r="AG47" s="44">
        <v>263.87875732207499</v>
      </c>
      <c r="AH47" s="44">
        <v>119.67290581499999</v>
      </c>
    </row>
    <row r="48" spans="1:34" ht="22.5" customHeight="1">
      <c r="A48" s="89">
        <v>25</v>
      </c>
      <c r="B48" s="104" t="s">
        <v>70</v>
      </c>
      <c r="C48" s="33" t="s">
        <v>43</v>
      </c>
      <c r="D48" s="98">
        <v>1</v>
      </c>
      <c r="E48" s="98"/>
      <c r="F48" s="33" t="s">
        <v>54</v>
      </c>
      <c r="G48" s="33" t="s">
        <v>116</v>
      </c>
      <c r="H48" s="79" t="s">
        <v>58</v>
      </c>
      <c r="I48" s="79" t="s">
        <v>47</v>
      </c>
      <c r="J48" s="39" t="s">
        <v>46</v>
      </c>
      <c r="K48" s="38">
        <v>19.5</v>
      </c>
      <c r="L48" s="80" t="s">
        <v>84</v>
      </c>
      <c r="M48" s="38">
        <v>25.5</v>
      </c>
      <c r="N48" s="35" t="s">
        <v>84</v>
      </c>
      <c r="O48" s="36">
        <v>1.25</v>
      </c>
      <c r="P48" s="36">
        <v>2</v>
      </c>
      <c r="Q48" s="36"/>
      <c r="R48" s="36"/>
      <c r="S48" s="36"/>
      <c r="T48" s="36"/>
      <c r="U48" s="71">
        <v>2</v>
      </c>
      <c r="V48" s="203"/>
      <c r="W48" s="50">
        <v>3.453125</v>
      </c>
      <c r="X48" s="50">
        <v>6.90625</v>
      </c>
      <c r="Y48" s="81">
        <v>3.453125</v>
      </c>
      <c r="Z48" s="50">
        <v>6.90625</v>
      </c>
      <c r="AA48" s="50">
        <v>0.32080581000000002</v>
      </c>
      <c r="AB48" s="50">
        <v>0.64161162000000005</v>
      </c>
      <c r="AC48" s="64">
        <v>3.71</v>
      </c>
      <c r="AD48" s="64"/>
      <c r="AE48" s="64"/>
      <c r="AF48" s="64"/>
      <c r="AG48" s="44">
        <v>112.47291295695</v>
      </c>
      <c r="AH48" s="44">
        <v>51.008123789999999</v>
      </c>
    </row>
    <row r="49" spans="1:34" ht="22.5" customHeight="1">
      <c r="A49" s="89">
        <v>26</v>
      </c>
      <c r="B49" s="105" t="s">
        <v>70</v>
      </c>
      <c r="C49" s="33" t="s">
        <v>65</v>
      </c>
      <c r="D49" s="98">
        <v>3</v>
      </c>
      <c r="E49" s="98"/>
      <c r="F49" s="33" t="s">
        <v>54</v>
      </c>
      <c r="G49" s="33" t="s">
        <v>116</v>
      </c>
      <c r="H49" s="79" t="s">
        <v>58</v>
      </c>
      <c r="I49" s="79" t="s">
        <v>47</v>
      </c>
      <c r="J49" s="39" t="s">
        <v>46</v>
      </c>
      <c r="K49" s="34">
        <v>22.75</v>
      </c>
      <c r="L49" s="35" t="s">
        <v>84</v>
      </c>
      <c r="M49" s="35">
        <v>25.5</v>
      </c>
      <c r="N49" s="35" t="s">
        <v>84</v>
      </c>
      <c r="O49" s="36">
        <v>1.25</v>
      </c>
      <c r="P49" s="36">
        <v>3</v>
      </c>
      <c r="Q49" s="36"/>
      <c r="R49" s="36"/>
      <c r="S49" s="36"/>
      <c r="T49" s="36"/>
      <c r="U49" s="71">
        <v>3</v>
      </c>
      <c r="V49" s="203"/>
      <c r="W49" s="50">
        <v>4.028645833333333</v>
      </c>
      <c r="X49" s="50">
        <v>12.0859375</v>
      </c>
      <c r="Y49" s="81">
        <v>4.028645833333333</v>
      </c>
      <c r="Z49" s="50">
        <v>12.0859375</v>
      </c>
      <c r="AA49" s="50">
        <v>0.37427344499999998</v>
      </c>
      <c r="AB49" s="50">
        <v>1.1228203349999999</v>
      </c>
      <c r="AC49" s="64">
        <v>3.71</v>
      </c>
      <c r="AD49" s="64"/>
      <c r="AE49" s="64"/>
      <c r="AF49" s="64"/>
      <c r="AG49" s="44">
        <v>196.82759767466248</v>
      </c>
      <c r="AH49" s="44">
        <v>89.264216632499995</v>
      </c>
    </row>
    <row r="50" spans="1:34" ht="22.5" customHeight="1">
      <c r="A50" s="89">
        <v>27</v>
      </c>
      <c r="B50" s="105" t="s">
        <v>70</v>
      </c>
      <c r="C50" s="33" t="s">
        <v>65</v>
      </c>
      <c r="D50" s="98">
        <v>3</v>
      </c>
      <c r="E50" s="98"/>
      <c r="F50" s="33" t="s">
        <v>54</v>
      </c>
      <c r="G50" s="33" t="s">
        <v>116</v>
      </c>
      <c r="H50" s="79" t="s">
        <v>58</v>
      </c>
      <c r="I50" s="79" t="s">
        <v>47</v>
      </c>
      <c r="J50" s="39" t="s">
        <v>46</v>
      </c>
      <c r="K50" s="34">
        <v>45.75</v>
      </c>
      <c r="L50" s="38" t="s">
        <v>84</v>
      </c>
      <c r="M50" s="35">
        <v>25.5</v>
      </c>
      <c r="N50" s="35" t="s">
        <v>84</v>
      </c>
      <c r="O50" s="36">
        <v>1.25</v>
      </c>
      <c r="P50" s="36">
        <v>3</v>
      </c>
      <c r="Q50" s="36"/>
      <c r="R50" s="36"/>
      <c r="S50" s="36"/>
      <c r="T50" s="36"/>
      <c r="U50" s="71">
        <v>3</v>
      </c>
      <c r="V50" s="203"/>
      <c r="W50" s="50">
        <v>8.1015625</v>
      </c>
      <c r="X50" s="50">
        <v>24.3046875</v>
      </c>
      <c r="Y50" s="81">
        <v>8.1015625</v>
      </c>
      <c r="Z50" s="50">
        <v>24.3046875</v>
      </c>
      <c r="AA50" s="50">
        <v>0.75265978500000008</v>
      </c>
      <c r="AB50" s="50">
        <v>2.2579793550000002</v>
      </c>
      <c r="AC50" s="64">
        <v>3.71</v>
      </c>
      <c r="AD50" s="64"/>
      <c r="AE50" s="64"/>
      <c r="AF50" s="64"/>
      <c r="AG50" s="44">
        <v>395.81813598311254</v>
      </c>
      <c r="AH50" s="44">
        <v>179.50935872250002</v>
      </c>
    </row>
    <row r="51" spans="1:34" ht="22.5" customHeight="1">
      <c r="A51" s="89">
        <v>28</v>
      </c>
      <c r="B51" s="105" t="s">
        <v>70</v>
      </c>
      <c r="C51" s="33" t="s">
        <v>65</v>
      </c>
      <c r="D51" s="98">
        <v>3</v>
      </c>
      <c r="E51" s="98"/>
      <c r="F51" s="33" t="s">
        <v>54</v>
      </c>
      <c r="G51" s="33" t="s">
        <v>116</v>
      </c>
      <c r="H51" s="79" t="s">
        <v>58</v>
      </c>
      <c r="I51" s="79" t="s">
        <v>47</v>
      </c>
      <c r="J51" s="39" t="s">
        <v>46</v>
      </c>
      <c r="K51" s="34">
        <v>19.5</v>
      </c>
      <c r="L51" s="38" t="s">
        <v>84</v>
      </c>
      <c r="M51" s="35">
        <v>25.5</v>
      </c>
      <c r="N51" s="35" t="s">
        <v>84</v>
      </c>
      <c r="O51" s="36">
        <v>1.25</v>
      </c>
      <c r="P51" s="36">
        <v>3</v>
      </c>
      <c r="Q51" s="36"/>
      <c r="R51" s="36"/>
      <c r="S51" s="36"/>
      <c r="T51" s="36"/>
      <c r="U51" s="71">
        <v>3</v>
      </c>
      <c r="V51" s="203"/>
      <c r="W51" s="50">
        <v>3.453125</v>
      </c>
      <c r="X51" s="50">
        <v>10.359375</v>
      </c>
      <c r="Y51" s="81">
        <v>3.453125</v>
      </c>
      <c r="Z51" s="50">
        <v>10.359375</v>
      </c>
      <c r="AA51" s="50">
        <v>0.32080581000000002</v>
      </c>
      <c r="AB51" s="50">
        <v>0.96241743000000013</v>
      </c>
      <c r="AC51" s="64">
        <v>3.71</v>
      </c>
      <c r="AD51" s="64"/>
      <c r="AE51" s="64"/>
      <c r="AF51" s="64"/>
      <c r="AG51" s="44">
        <v>168.70936943542503</v>
      </c>
      <c r="AH51" s="44">
        <v>76.512185685000006</v>
      </c>
    </row>
    <row r="52" spans="1:34" ht="22.5" customHeight="1">
      <c r="A52" s="89">
        <v>29</v>
      </c>
      <c r="B52" s="105" t="s">
        <v>72</v>
      </c>
      <c r="C52" s="33" t="s">
        <v>43</v>
      </c>
      <c r="D52" s="98">
        <v>7</v>
      </c>
      <c r="E52" s="98"/>
      <c r="F52" s="33" t="s">
        <v>54</v>
      </c>
      <c r="G52" s="33" t="s">
        <v>116</v>
      </c>
      <c r="H52" s="79" t="s">
        <v>58</v>
      </c>
      <c r="I52" s="79" t="s">
        <v>47</v>
      </c>
      <c r="J52" s="39" t="s">
        <v>46</v>
      </c>
      <c r="K52" s="34">
        <v>34.5</v>
      </c>
      <c r="L52" s="38" t="s">
        <v>84</v>
      </c>
      <c r="M52" s="35">
        <v>25.5</v>
      </c>
      <c r="N52" s="35" t="s">
        <v>84</v>
      </c>
      <c r="O52" s="36">
        <v>1.25</v>
      </c>
      <c r="P52" s="36">
        <v>3</v>
      </c>
      <c r="Q52" s="36"/>
      <c r="R52" s="36"/>
      <c r="S52" s="36"/>
      <c r="T52" s="36"/>
      <c r="U52" s="71">
        <v>3</v>
      </c>
      <c r="V52" s="203"/>
      <c r="W52" s="50">
        <v>6.109375</v>
      </c>
      <c r="X52" s="50">
        <v>18.328125</v>
      </c>
      <c r="Y52" s="81">
        <v>6.109375</v>
      </c>
      <c r="Z52" s="50">
        <v>18.328125</v>
      </c>
      <c r="AA52" s="50">
        <v>0.56757951000000006</v>
      </c>
      <c r="AB52" s="50">
        <v>1.7027385300000002</v>
      </c>
      <c r="AC52" s="64">
        <v>3.71</v>
      </c>
      <c r="AD52" s="64"/>
      <c r="AE52" s="64"/>
      <c r="AF52" s="64"/>
      <c r="AG52" s="44">
        <v>298.48580746267504</v>
      </c>
      <c r="AH52" s="44">
        <v>135.367713135</v>
      </c>
    </row>
    <row r="53" spans="1:34" ht="22.5" customHeight="1">
      <c r="A53" s="89">
        <v>30</v>
      </c>
      <c r="B53" s="104" t="s">
        <v>72</v>
      </c>
      <c r="C53" s="33" t="s">
        <v>43</v>
      </c>
      <c r="D53" s="98">
        <v>7</v>
      </c>
      <c r="E53" s="98"/>
      <c r="F53" s="33" t="s">
        <v>54</v>
      </c>
      <c r="G53" s="33" t="s">
        <v>116</v>
      </c>
      <c r="H53" s="79" t="s">
        <v>45</v>
      </c>
      <c r="I53" s="79" t="s">
        <v>47</v>
      </c>
      <c r="J53" s="39" t="s">
        <v>46</v>
      </c>
      <c r="K53" s="38">
        <v>39</v>
      </c>
      <c r="L53" s="80" t="s">
        <v>84</v>
      </c>
      <c r="M53" s="38">
        <v>25.5</v>
      </c>
      <c r="N53" s="35" t="s">
        <v>84</v>
      </c>
      <c r="O53" s="36">
        <v>1.25</v>
      </c>
      <c r="P53" s="36">
        <v>3</v>
      </c>
      <c r="Q53" s="36"/>
      <c r="R53" s="36"/>
      <c r="S53" s="36"/>
      <c r="T53" s="36"/>
      <c r="U53" s="71">
        <v>3</v>
      </c>
      <c r="V53" s="203"/>
      <c r="W53" s="50">
        <v>6.90625</v>
      </c>
      <c r="X53" s="50">
        <v>20.71875</v>
      </c>
      <c r="Y53" s="81">
        <v>6.90625</v>
      </c>
      <c r="Z53" s="50">
        <v>20.71875</v>
      </c>
      <c r="AA53" s="50">
        <v>0.64161162000000005</v>
      </c>
      <c r="AB53" s="50">
        <v>1.9248348600000003</v>
      </c>
      <c r="AC53" s="64">
        <v>3.71</v>
      </c>
      <c r="AD53" s="64"/>
      <c r="AE53" s="64"/>
      <c r="AF53" s="64"/>
      <c r="AG53" s="44">
        <v>337.41873887085006</v>
      </c>
      <c r="AH53" s="44">
        <v>153.02437137000001</v>
      </c>
    </row>
    <row r="54" spans="1:34" ht="22.5" customHeight="1">
      <c r="A54" s="89">
        <v>31</v>
      </c>
      <c r="B54" s="105" t="s">
        <v>76</v>
      </c>
      <c r="C54" s="33" t="s">
        <v>65</v>
      </c>
      <c r="D54" s="98">
        <v>44</v>
      </c>
      <c r="E54" s="98"/>
      <c r="F54" s="33" t="s">
        <v>54</v>
      </c>
      <c r="G54" s="33" t="s">
        <v>116</v>
      </c>
      <c r="H54" s="79" t="s">
        <v>58</v>
      </c>
      <c r="I54" s="79" t="s">
        <v>47</v>
      </c>
      <c r="J54" s="39" t="s">
        <v>46</v>
      </c>
      <c r="K54" s="34">
        <v>13.875</v>
      </c>
      <c r="L54" s="35" t="s">
        <v>84</v>
      </c>
      <c r="M54" s="35">
        <v>25.5</v>
      </c>
      <c r="N54" s="35" t="s">
        <v>84</v>
      </c>
      <c r="O54" s="36">
        <v>1.25</v>
      </c>
      <c r="P54" s="36">
        <v>1</v>
      </c>
      <c r="Q54" s="36"/>
      <c r="R54" s="36"/>
      <c r="S54" s="36"/>
      <c r="T54" s="36"/>
      <c r="U54" s="71">
        <v>1</v>
      </c>
      <c r="V54" s="203"/>
      <c r="W54" s="50">
        <v>2.45703125</v>
      </c>
      <c r="X54" s="50">
        <v>2.45703125</v>
      </c>
      <c r="Y54" s="81">
        <v>2.45703125</v>
      </c>
      <c r="Z54" s="50">
        <v>2.45703125</v>
      </c>
      <c r="AA54" s="50">
        <v>0.22826567250000002</v>
      </c>
      <c r="AB54" s="50">
        <v>0.22826567250000002</v>
      </c>
      <c r="AC54" s="64">
        <v>3.71</v>
      </c>
      <c r="AD54" s="64"/>
      <c r="AE54" s="64"/>
      <c r="AF54" s="64"/>
      <c r="AG54" s="44">
        <v>40.014401725068744</v>
      </c>
      <c r="AH54" s="44">
        <v>18.147120963749998</v>
      </c>
    </row>
    <row r="55" spans="1:34" ht="22.5" customHeight="1">
      <c r="A55" s="89">
        <v>32</v>
      </c>
      <c r="B55" s="105" t="s">
        <v>76</v>
      </c>
      <c r="C55" s="33" t="s">
        <v>65</v>
      </c>
      <c r="D55" s="98">
        <v>44</v>
      </c>
      <c r="E55" s="98"/>
      <c r="F55" s="33" t="s">
        <v>54</v>
      </c>
      <c r="G55" s="33" t="s">
        <v>116</v>
      </c>
      <c r="H55" s="79" t="s">
        <v>45</v>
      </c>
      <c r="I55" s="79" t="s">
        <v>47</v>
      </c>
      <c r="J55" s="39" t="s">
        <v>46</v>
      </c>
      <c r="K55" s="34">
        <v>39.25</v>
      </c>
      <c r="L55" s="38" t="s">
        <v>84</v>
      </c>
      <c r="M55" s="35">
        <v>25.5</v>
      </c>
      <c r="N55" s="35" t="s">
        <v>84</v>
      </c>
      <c r="O55" s="36">
        <v>1.25</v>
      </c>
      <c r="P55" s="36">
        <v>1</v>
      </c>
      <c r="Q55" s="36"/>
      <c r="R55" s="36"/>
      <c r="S55" s="36"/>
      <c r="T55" s="36"/>
      <c r="U55" s="71">
        <v>1</v>
      </c>
      <c r="V55" s="203"/>
      <c r="W55" s="50">
        <v>6.950520833333333</v>
      </c>
      <c r="X55" s="50">
        <v>6.950520833333333</v>
      </c>
      <c r="Y55" s="81">
        <v>6.950520833333333</v>
      </c>
      <c r="Z55" s="50">
        <v>6.950520833333333</v>
      </c>
      <c r="AA55" s="50">
        <v>0.64572451500000005</v>
      </c>
      <c r="AB55" s="50">
        <v>0.64572451500000005</v>
      </c>
      <c r="AC55" s="64">
        <v>3.71</v>
      </c>
      <c r="AD55" s="64"/>
      <c r="AE55" s="64"/>
      <c r="AF55" s="64"/>
      <c r="AG55" s="44">
        <v>113.1938931682125</v>
      </c>
      <c r="AH55" s="44">
        <v>51.335098942499997</v>
      </c>
    </row>
    <row r="56" spans="1:34" ht="22.5" customHeight="1">
      <c r="A56" s="89">
        <v>33</v>
      </c>
      <c r="B56" s="105" t="s">
        <v>76</v>
      </c>
      <c r="C56" s="33" t="s">
        <v>65</v>
      </c>
      <c r="D56" s="98">
        <v>44</v>
      </c>
      <c r="E56" s="98"/>
      <c r="F56" s="33" t="s">
        <v>54</v>
      </c>
      <c r="G56" s="33" t="s">
        <v>116</v>
      </c>
      <c r="H56" s="79" t="s">
        <v>45</v>
      </c>
      <c r="I56" s="79" t="s">
        <v>47</v>
      </c>
      <c r="J56" s="39" t="s">
        <v>46</v>
      </c>
      <c r="K56" s="34">
        <v>17.875</v>
      </c>
      <c r="L56" s="38" t="s">
        <v>84</v>
      </c>
      <c r="M56" s="35">
        <v>25.5</v>
      </c>
      <c r="N56" s="35" t="s">
        <v>84</v>
      </c>
      <c r="O56" s="36">
        <v>1.25</v>
      </c>
      <c r="P56" s="36">
        <v>1</v>
      </c>
      <c r="Q56" s="36"/>
      <c r="R56" s="36"/>
      <c r="S56" s="36"/>
      <c r="T56" s="36"/>
      <c r="U56" s="71">
        <v>1</v>
      </c>
      <c r="V56" s="204"/>
      <c r="W56" s="50">
        <v>3.1653645833333335</v>
      </c>
      <c r="X56" s="50">
        <v>3.1653645833333335</v>
      </c>
      <c r="Y56" s="81">
        <v>3.1653645833333335</v>
      </c>
      <c r="Z56" s="50">
        <v>3.1653645833333335</v>
      </c>
      <c r="AA56" s="50">
        <v>0.29407199250000005</v>
      </c>
      <c r="AB56" s="50">
        <v>0.29407199250000005</v>
      </c>
      <c r="AC56" s="64">
        <v>3.71</v>
      </c>
      <c r="AD56" s="64"/>
      <c r="AE56" s="64"/>
      <c r="AF56" s="64"/>
      <c r="AG56" s="44">
        <v>51.550085105268757</v>
      </c>
      <c r="AH56" s="44">
        <v>23.378723403750001</v>
      </c>
    </row>
    <row r="57" spans="1:34" ht="22.5" customHeight="1">
      <c r="A57" s="89"/>
      <c r="B57" s="105"/>
      <c r="C57" s="33"/>
      <c r="D57" s="98"/>
      <c r="E57" s="98"/>
      <c r="F57" s="33"/>
      <c r="G57" s="33"/>
      <c r="H57" s="79"/>
      <c r="I57" s="79"/>
      <c r="J57" s="39"/>
      <c r="K57" s="34"/>
      <c r="L57" s="38"/>
      <c r="M57" s="35"/>
      <c r="N57" s="35"/>
      <c r="O57" s="36"/>
      <c r="P57" s="36"/>
      <c r="Q57" s="36"/>
      <c r="R57" s="36"/>
      <c r="S57" s="36"/>
      <c r="T57" s="36"/>
      <c r="U57" s="120">
        <f>SUBTOTAL(9,U46:U56)</f>
        <v>24</v>
      </c>
      <c r="V57" s="139"/>
      <c r="W57" s="129"/>
      <c r="X57" s="129"/>
      <c r="Y57" s="132"/>
      <c r="Z57" s="129"/>
      <c r="AA57" s="129"/>
      <c r="AB57" s="129"/>
      <c r="AC57" s="77"/>
      <c r="AD57" s="64"/>
      <c r="AE57" s="64"/>
      <c r="AF57" s="64"/>
      <c r="AG57" s="131">
        <f>SUBTOTAL(9,AG46:AG56)</f>
        <v>2109.5880981540749</v>
      </c>
      <c r="AH57" s="131">
        <f>SUBTOTAL(9,AH46:AH56)</f>
        <v>956.72929621499998</v>
      </c>
    </row>
    <row r="58" spans="1:34" ht="22.5" customHeight="1">
      <c r="A58" s="89">
        <v>34</v>
      </c>
      <c r="B58" s="105" t="s">
        <v>72</v>
      </c>
      <c r="C58" s="33" t="s">
        <v>65</v>
      </c>
      <c r="D58" s="98">
        <v>10</v>
      </c>
      <c r="E58" s="98"/>
      <c r="F58" s="33" t="s">
        <v>54</v>
      </c>
      <c r="G58" s="33" t="s">
        <v>116</v>
      </c>
      <c r="H58" s="79" t="s">
        <v>58</v>
      </c>
      <c r="I58" s="79" t="s">
        <v>47</v>
      </c>
      <c r="J58" s="39" t="s">
        <v>46</v>
      </c>
      <c r="K58" s="34">
        <v>34.5</v>
      </c>
      <c r="L58" s="38" t="s">
        <v>84</v>
      </c>
      <c r="M58" s="35">
        <v>25.5</v>
      </c>
      <c r="N58" s="35" t="s">
        <v>84</v>
      </c>
      <c r="O58" s="36">
        <v>1.25</v>
      </c>
      <c r="P58" s="36">
        <v>3</v>
      </c>
      <c r="Q58" s="36"/>
      <c r="R58" s="36"/>
      <c r="S58" s="36"/>
      <c r="T58" s="36"/>
      <c r="U58" s="71">
        <v>3</v>
      </c>
      <c r="V58" s="202">
        <v>8</v>
      </c>
      <c r="W58" s="50">
        <v>6.109375</v>
      </c>
      <c r="X58" s="50">
        <v>18.328125</v>
      </c>
      <c r="Y58" s="81">
        <v>6.109375</v>
      </c>
      <c r="Z58" s="50">
        <v>18.328125</v>
      </c>
      <c r="AA58" s="50">
        <v>0.56757951000000006</v>
      </c>
      <c r="AB58" s="50">
        <v>1.7027385300000002</v>
      </c>
      <c r="AC58" s="64">
        <v>3.71</v>
      </c>
      <c r="AD58" s="64"/>
      <c r="AE58" s="64"/>
      <c r="AF58" s="64"/>
      <c r="AG58" s="44">
        <v>298.48580746267504</v>
      </c>
      <c r="AH58" s="44">
        <v>135.367713135</v>
      </c>
    </row>
    <row r="59" spans="1:34" ht="22.5" customHeight="1">
      <c r="A59" s="89">
        <v>35</v>
      </c>
      <c r="B59" s="104" t="s">
        <v>72</v>
      </c>
      <c r="C59" s="33" t="s">
        <v>65</v>
      </c>
      <c r="D59" s="98">
        <v>10</v>
      </c>
      <c r="E59" s="98"/>
      <c r="F59" s="33" t="s">
        <v>54</v>
      </c>
      <c r="G59" s="33" t="s">
        <v>116</v>
      </c>
      <c r="H59" s="79" t="s">
        <v>45</v>
      </c>
      <c r="I59" s="79" t="s">
        <v>47</v>
      </c>
      <c r="J59" s="39" t="s">
        <v>46</v>
      </c>
      <c r="K59" s="38">
        <v>39</v>
      </c>
      <c r="L59" s="80" t="s">
        <v>84</v>
      </c>
      <c r="M59" s="38">
        <v>25.5</v>
      </c>
      <c r="N59" s="35" t="s">
        <v>84</v>
      </c>
      <c r="O59" s="36">
        <v>1.25</v>
      </c>
      <c r="P59" s="36">
        <v>3</v>
      </c>
      <c r="Q59" s="36"/>
      <c r="R59" s="36"/>
      <c r="S59" s="36"/>
      <c r="T59" s="36"/>
      <c r="U59" s="71">
        <v>3</v>
      </c>
      <c r="V59" s="203"/>
      <c r="W59" s="50">
        <v>6.90625</v>
      </c>
      <c r="X59" s="50">
        <v>20.71875</v>
      </c>
      <c r="Y59" s="81">
        <v>6.90625</v>
      </c>
      <c r="Z59" s="50">
        <v>20.71875</v>
      </c>
      <c r="AA59" s="50">
        <v>0.64161162000000005</v>
      </c>
      <c r="AB59" s="50">
        <v>1.9248348600000003</v>
      </c>
      <c r="AC59" s="64">
        <v>3.71</v>
      </c>
      <c r="AD59" s="64"/>
      <c r="AE59" s="64"/>
      <c r="AF59" s="64"/>
      <c r="AG59" s="44">
        <v>337.41873887085006</v>
      </c>
      <c r="AH59" s="44">
        <v>153.02437137000001</v>
      </c>
    </row>
    <row r="60" spans="1:34" ht="22.5" customHeight="1">
      <c r="A60" s="89">
        <v>36</v>
      </c>
      <c r="B60" s="105" t="s">
        <v>73</v>
      </c>
      <c r="C60" s="33" t="s">
        <v>43</v>
      </c>
      <c r="D60" s="98">
        <v>13</v>
      </c>
      <c r="E60" s="98"/>
      <c r="F60" s="33" t="s">
        <v>54</v>
      </c>
      <c r="G60" s="33" t="s">
        <v>116</v>
      </c>
      <c r="H60" s="79" t="s">
        <v>45</v>
      </c>
      <c r="I60" s="79" t="s">
        <v>47</v>
      </c>
      <c r="J60" s="39" t="s">
        <v>46</v>
      </c>
      <c r="K60" s="34">
        <v>62.125</v>
      </c>
      <c r="L60" s="35" t="s">
        <v>84</v>
      </c>
      <c r="M60" s="35">
        <v>25.5</v>
      </c>
      <c r="N60" s="35" t="s">
        <v>84</v>
      </c>
      <c r="O60" s="36">
        <v>1.25</v>
      </c>
      <c r="P60" s="36">
        <v>1</v>
      </c>
      <c r="Q60" s="36"/>
      <c r="R60" s="36"/>
      <c r="S60" s="36"/>
      <c r="T60" s="36"/>
      <c r="U60" s="71">
        <v>1</v>
      </c>
      <c r="V60" s="203"/>
      <c r="W60" s="50">
        <v>11.001302083333334</v>
      </c>
      <c r="X60" s="50">
        <v>11.001302083333334</v>
      </c>
      <c r="Y60" s="81">
        <v>11.001302083333334</v>
      </c>
      <c r="Z60" s="50">
        <v>11.001302083333334</v>
      </c>
      <c r="AA60" s="50">
        <v>1.0220544075000002</v>
      </c>
      <c r="AB60" s="50">
        <v>1.0220544075000002</v>
      </c>
      <c r="AC60" s="64">
        <v>3.71</v>
      </c>
      <c r="AD60" s="64"/>
      <c r="AE60" s="64"/>
      <c r="AF60" s="64"/>
      <c r="AG60" s="44">
        <v>179.16358249873127</v>
      </c>
      <c r="AH60" s="44">
        <v>81.253325396250005</v>
      </c>
    </row>
    <row r="61" spans="1:34" ht="22.5" customHeight="1">
      <c r="A61" s="89">
        <v>37</v>
      </c>
      <c r="B61" s="105" t="s">
        <v>73</v>
      </c>
      <c r="C61" s="33" t="s">
        <v>43</v>
      </c>
      <c r="D61" s="98">
        <v>13</v>
      </c>
      <c r="E61" s="98"/>
      <c r="F61" s="33" t="s">
        <v>54</v>
      </c>
      <c r="G61" s="33" t="s">
        <v>116</v>
      </c>
      <c r="H61" s="79" t="s">
        <v>45</v>
      </c>
      <c r="I61" s="79" t="s">
        <v>47</v>
      </c>
      <c r="J61" s="39" t="s">
        <v>46</v>
      </c>
      <c r="K61" s="34">
        <v>24</v>
      </c>
      <c r="L61" s="38" t="s">
        <v>84</v>
      </c>
      <c r="M61" s="35">
        <v>25.5</v>
      </c>
      <c r="N61" s="35" t="s">
        <v>84</v>
      </c>
      <c r="O61" s="36">
        <v>1.25</v>
      </c>
      <c r="P61" s="36">
        <v>1</v>
      </c>
      <c r="Q61" s="36"/>
      <c r="R61" s="36"/>
      <c r="S61" s="36"/>
      <c r="T61" s="36"/>
      <c r="U61" s="71">
        <v>1</v>
      </c>
      <c r="V61" s="203"/>
      <c r="W61" s="50">
        <v>4.25</v>
      </c>
      <c r="X61" s="50">
        <v>4.25</v>
      </c>
      <c r="Y61" s="81">
        <v>4.25</v>
      </c>
      <c r="Z61" s="50">
        <v>4.25</v>
      </c>
      <c r="AA61" s="50">
        <v>0.39483792000000001</v>
      </c>
      <c r="AB61" s="50">
        <v>0.39483792000000001</v>
      </c>
      <c r="AC61" s="64">
        <v>3.71</v>
      </c>
      <c r="AD61" s="64"/>
      <c r="AE61" s="64"/>
      <c r="AF61" s="64"/>
      <c r="AG61" s="44">
        <v>69.21410028119999</v>
      </c>
      <c r="AH61" s="44">
        <v>31.389614639999994</v>
      </c>
    </row>
    <row r="62" spans="1:34" ht="22.5" customHeight="1">
      <c r="A62" s="89">
        <v>38</v>
      </c>
      <c r="B62" s="105" t="s">
        <v>73</v>
      </c>
      <c r="C62" s="33" t="s">
        <v>65</v>
      </c>
      <c r="D62" s="98">
        <v>16</v>
      </c>
      <c r="E62" s="98"/>
      <c r="F62" s="33" t="s">
        <v>54</v>
      </c>
      <c r="G62" s="33" t="s">
        <v>116</v>
      </c>
      <c r="H62" s="79" t="s">
        <v>45</v>
      </c>
      <c r="I62" s="79" t="s">
        <v>47</v>
      </c>
      <c r="J62" s="39" t="s">
        <v>46</v>
      </c>
      <c r="K62" s="34">
        <v>62.125</v>
      </c>
      <c r="L62" s="38" t="s">
        <v>84</v>
      </c>
      <c r="M62" s="35">
        <v>25.5</v>
      </c>
      <c r="N62" s="35" t="s">
        <v>84</v>
      </c>
      <c r="O62" s="36">
        <v>1.25</v>
      </c>
      <c r="P62" s="36">
        <v>4</v>
      </c>
      <c r="Q62" s="36"/>
      <c r="R62" s="36"/>
      <c r="S62" s="36"/>
      <c r="T62" s="36"/>
      <c r="U62" s="71">
        <v>4</v>
      </c>
      <c r="V62" s="203"/>
      <c r="W62" s="50">
        <v>11.001302083333334</v>
      </c>
      <c r="X62" s="50">
        <v>44.005208333333336</v>
      </c>
      <c r="Y62" s="81">
        <v>11.001302083333334</v>
      </c>
      <c r="Z62" s="50">
        <v>44.005208333333336</v>
      </c>
      <c r="AA62" s="50">
        <v>1.0220544075000002</v>
      </c>
      <c r="AB62" s="50">
        <v>4.0882176300000008</v>
      </c>
      <c r="AC62" s="64">
        <v>3.71</v>
      </c>
      <c r="AD62" s="64"/>
      <c r="AE62" s="64"/>
      <c r="AF62" s="64"/>
      <c r="AG62" s="44">
        <v>716.65432999492509</v>
      </c>
      <c r="AH62" s="44">
        <v>325.01330158500002</v>
      </c>
    </row>
    <row r="63" spans="1:34" ht="22.5" customHeight="1">
      <c r="A63" s="89">
        <v>39</v>
      </c>
      <c r="B63" s="105" t="s">
        <v>73</v>
      </c>
      <c r="C63" s="33" t="s">
        <v>65</v>
      </c>
      <c r="D63" s="98">
        <v>16</v>
      </c>
      <c r="E63" s="98"/>
      <c r="F63" s="33" t="s">
        <v>54</v>
      </c>
      <c r="G63" s="33" t="s">
        <v>116</v>
      </c>
      <c r="H63" s="79" t="s">
        <v>45</v>
      </c>
      <c r="I63" s="79" t="s">
        <v>47</v>
      </c>
      <c r="J63" s="39" t="s">
        <v>46</v>
      </c>
      <c r="K63" s="34">
        <v>24</v>
      </c>
      <c r="L63" s="38" t="s">
        <v>84</v>
      </c>
      <c r="M63" s="35">
        <v>25.5</v>
      </c>
      <c r="N63" s="35" t="s">
        <v>84</v>
      </c>
      <c r="O63" s="36">
        <v>1.25</v>
      </c>
      <c r="P63" s="36">
        <v>4</v>
      </c>
      <c r="Q63" s="36"/>
      <c r="R63" s="36"/>
      <c r="S63" s="36"/>
      <c r="T63" s="36"/>
      <c r="U63" s="71">
        <v>4</v>
      </c>
      <c r="V63" s="203"/>
      <c r="W63" s="50">
        <v>4.25</v>
      </c>
      <c r="X63" s="50">
        <v>17</v>
      </c>
      <c r="Y63" s="81">
        <v>4.25</v>
      </c>
      <c r="Z63" s="50">
        <v>17</v>
      </c>
      <c r="AA63" s="50">
        <v>0.39483792000000001</v>
      </c>
      <c r="AB63" s="50">
        <v>1.57935168</v>
      </c>
      <c r="AC63" s="64">
        <v>3.71</v>
      </c>
      <c r="AD63" s="64"/>
      <c r="AE63" s="64"/>
      <c r="AF63" s="64"/>
      <c r="AG63" s="44">
        <v>276.85640112479996</v>
      </c>
      <c r="AH63" s="44">
        <v>125.55845855999998</v>
      </c>
    </row>
    <row r="64" spans="1:34" ht="22.5" customHeight="1">
      <c r="A64" s="89">
        <v>40</v>
      </c>
      <c r="B64" s="104" t="s">
        <v>74</v>
      </c>
      <c r="C64" s="33" t="s">
        <v>65</v>
      </c>
      <c r="D64" s="98">
        <v>22</v>
      </c>
      <c r="E64" s="98"/>
      <c r="F64" s="33" t="s">
        <v>54</v>
      </c>
      <c r="G64" s="33" t="s">
        <v>116</v>
      </c>
      <c r="H64" s="79" t="s">
        <v>58</v>
      </c>
      <c r="I64" s="79" t="s">
        <v>47</v>
      </c>
      <c r="J64" s="39" t="s">
        <v>46</v>
      </c>
      <c r="K64" s="38">
        <v>92.25</v>
      </c>
      <c r="L64" s="80" t="s">
        <v>84</v>
      </c>
      <c r="M64" s="38">
        <v>25.5</v>
      </c>
      <c r="N64" s="35" t="s">
        <v>84</v>
      </c>
      <c r="O64" s="36">
        <v>1.25</v>
      </c>
      <c r="P64" s="36">
        <v>1</v>
      </c>
      <c r="Q64" s="36"/>
      <c r="R64" s="36"/>
      <c r="S64" s="36"/>
      <c r="T64" s="36"/>
      <c r="U64" s="71">
        <v>1</v>
      </c>
      <c r="V64" s="203"/>
      <c r="W64" s="50">
        <v>16.3359375</v>
      </c>
      <c r="X64" s="50">
        <v>16.3359375</v>
      </c>
      <c r="Y64" s="81">
        <v>16.3359375</v>
      </c>
      <c r="Z64" s="50">
        <v>16.3359375</v>
      </c>
      <c r="AA64" s="50">
        <v>1.5176582550000002</v>
      </c>
      <c r="AB64" s="50">
        <v>1.5176582550000002</v>
      </c>
      <c r="AC64" s="64">
        <v>3.71</v>
      </c>
      <c r="AD64" s="64"/>
      <c r="AE64" s="64"/>
      <c r="AF64" s="64"/>
      <c r="AG64" s="44">
        <v>266.04169795586256</v>
      </c>
      <c r="AH64" s="44">
        <v>120.65383127250001</v>
      </c>
    </row>
    <row r="65" spans="1:34" ht="22.5" customHeight="1">
      <c r="A65" s="89">
        <v>41</v>
      </c>
      <c r="B65" s="105" t="s">
        <v>74</v>
      </c>
      <c r="C65" s="33" t="s">
        <v>65</v>
      </c>
      <c r="D65" s="98">
        <v>22</v>
      </c>
      <c r="E65" s="98"/>
      <c r="F65" s="33" t="s">
        <v>54</v>
      </c>
      <c r="G65" s="33" t="s">
        <v>116</v>
      </c>
      <c r="H65" s="79" t="s">
        <v>58</v>
      </c>
      <c r="I65" s="79" t="s">
        <v>47</v>
      </c>
      <c r="J65" s="39" t="s">
        <v>46</v>
      </c>
      <c r="K65" s="34">
        <v>58.875</v>
      </c>
      <c r="L65" s="35" t="s">
        <v>84</v>
      </c>
      <c r="M65" s="35">
        <v>25.5</v>
      </c>
      <c r="N65" s="35" t="s">
        <v>84</v>
      </c>
      <c r="O65" s="36">
        <v>1.25</v>
      </c>
      <c r="P65" s="36">
        <v>1</v>
      </c>
      <c r="Q65" s="36"/>
      <c r="R65" s="36"/>
      <c r="S65" s="36"/>
      <c r="T65" s="36"/>
      <c r="U65" s="71">
        <v>1</v>
      </c>
      <c r="V65" s="203"/>
      <c r="W65" s="50">
        <v>10.42578125</v>
      </c>
      <c r="X65" s="50">
        <v>10.42578125</v>
      </c>
      <c r="Y65" s="81">
        <v>10.42578125</v>
      </c>
      <c r="Z65" s="50">
        <v>10.42578125</v>
      </c>
      <c r="AA65" s="50">
        <v>0.96858677250000003</v>
      </c>
      <c r="AB65" s="50">
        <v>0.96858677250000003</v>
      </c>
      <c r="AC65" s="64">
        <v>3.71</v>
      </c>
      <c r="AD65" s="64"/>
      <c r="AE65" s="64"/>
      <c r="AF65" s="64"/>
      <c r="AG65" s="44">
        <v>169.79083975231873</v>
      </c>
      <c r="AH65" s="44">
        <v>77.002648413749995</v>
      </c>
    </row>
    <row r="66" spans="1:34" ht="22.5" customHeight="1">
      <c r="A66" s="89">
        <v>42</v>
      </c>
      <c r="B66" s="105" t="s">
        <v>74</v>
      </c>
      <c r="C66" s="33" t="s">
        <v>65</v>
      </c>
      <c r="D66" s="98">
        <v>22</v>
      </c>
      <c r="E66" s="98"/>
      <c r="F66" s="33" t="s">
        <v>54</v>
      </c>
      <c r="G66" s="33" t="s">
        <v>116</v>
      </c>
      <c r="H66" s="79" t="s">
        <v>45</v>
      </c>
      <c r="I66" s="79" t="s">
        <v>47</v>
      </c>
      <c r="J66" s="39" t="s">
        <v>46</v>
      </c>
      <c r="K66" s="34">
        <v>30</v>
      </c>
      <c r="L66" s="38" t="s">
        <v>84</v>
      </c>
      <c r="M66" s="35">
        <v>25.5</v>
      </c>
      <c r="N66" s="35" t="s">
        <v>84</v>
      </c>
      <c r="O66" s="36">
        <v>1.25</v>
      </c>
      <c r="P66" s="36">
        <v>1</v>
      </c>
      <c r="Q66" s="36"/>
      <c r="R66" s="36"/>
      <c r="S66" s="36"/>
      <c r="T66" s="36"/>
      <c r="U66" s="71">
        <v>1</v>
      </c>
      <c r="V66" s="203"/>
      <c r="W66" s="50">
        <v>5.3125</v>
      </c>
      <c r="X66" s="50">
        <v>5.3125</v>
      </c>
      <c r="Y66" s="81">
        <v>5.3125</v>
      </c>
      <c r="Z66" s="50">
        <v>5.3125</v>
      </c>
      <c r="AA66" s="50">
        <v>0.49354740000000002</v>
      </c>
      <c r="AB66" s="50">
        <v>0.49354740000000002</v>
      </c>
      <c r="AC66" s="64">
        <v>3.71</v>
      </c>
      <c r="AD66" s="64"/>
      <c r="AE66" s="64"/>
      <c r="AF66" s="64"/>
      <c r="AG66" s="44">
        <v>86.517625351500016</v>
      </c>
      <c r="AH66" s="44">
        <v>39.237018300000003</v>
      </c>
    </row>
    <row r="67" spans="1:34" ht="22.5" customHeight="1">
      <c r="A67" s="89">
        <v>43</v>
      </c>
      <c r="B67" s="105" t="s">
        <v>75</v>
      </c>
      <c r="C67" s="33" t="s">
        <v>65</v>
      </c>
      <c r="D67" s="98">
        <v>29</v>
      </c>
      <c r="E67" s="98"/>
      <c r="F67" s="33" t="s">
        <v>54</v>
      </c>
      <c r="G67" s="33" t="s">
        <v>116</v>
      </c>
      <c r="H67" s="79" t="s">
        <v>58</v>
      </c>
      <c r="I67" s="79" t="s">
        <v>47</v>
      </c>
      <c r="J67" s="39" t="s">
        <v>46</v>
      </c>
      <c r="K67" s="34">
        <v>53.25</v>
      </c>
      <c r="L67" s="38" t="s">
        <v>84</v>
      </c>
      <c r="M67" s="35">
        <v>25.5</v>
      </c>
      <c r="N67" s="35" t="s">
        <v>84</v>
      </c>
      <c r="O67" s="36">
        <v>1.25</v>
      </c>
      <c r="P67" s="36">
        <v>2</v>
      </c>
      <c r="Q67" s="36"/>
      <c r="R67" s="36"/>
      <c r="S67" s="36"/>
      <c r="T67" s="36"/>
      <c r="U67" s="71">
        <v>2</v>
      </c>
      <c r="V67" s="203"/>
      <c r="W67" s="50">
        <v>9.4296875</v>
      </c>
      <c r="X67" s="50">
        <v>18.859375</v>
      </c>
      <c r="Y67" s="81">
        <v>9.4296875</v>
      </c>
      <c r="Z67" s="50">
        <v>18.859375</v>
      </c>
      <c r="AA67" s="50">
        <v>0.87604663500000002</v>
      </c>
      <c r="AB67" s="50">
        <v>1.75209327</v>
      </c>
      <c r="AC67" s="64">
        <v>3.71</v>
      </c>
      <c r="AD67" s="64"/>
      <c r="AE67" s="64"/>
      <c r="AF67" s="64"/>
      <c r="AG67" s="44">
        <v>307.13756999782493</v>
      </c>
      <c r="AH67" s="44">
        <v>139.29141496499997</v>
      </c>
    </row>
    <row r="68" spans="1:34" ht="22.5" customHeight="1">
      <c r="A68" s="89">
        <v>44</v>
      </c>
      <c r="B68" s="105" t="s">
        <v>75</v>
      </c>
      <c r="C68" s="33" t="s">
        <v>65</v>
      </c>
      <c r="D68" s="98">
        <v>29</v>
      </c>
      <c r="E68" s="98"/>
      <c r="F68" s="33" t="s">
        <v>54</v>
      </c>
      <c r="G68" s="33" t="s">
        <v>116</v>
      </c>
      <c r="H68" s="79" t="s">
        <v>58</v>
      </c>
      <c r="I68" s="79" t="s">
        <v>47</v>
      </c>
      <c r="J68" s="39" t="s">
        <v>46</v>
      </c>
      <c r="K68" s="38">
        <v>25.125</v>
      </c>
      <c r="L68" s="35" t="s">
        <v>84</v>
      </c>
      <c r="M68" s="38">
        <v>25.5</v>
      </c>
      <c r="N68" s="35" t="s">
        <v>84</v>
      </c>
      <c r="O68" s="36">
        <v>1.25</v>
      </c>
      <c r="P68" s="36">
        <v>2</v>
      </c>
      <c r="Q68" s="36"/>
      <c r="R68" s="36"/>
      <c r="S68" s="36"/>
      <c r="T68" s="36"/>
      <c r="U68" s="71">
        <v>2</v>
      </c>
      <c r="V68" s="203"/>
      <c r="W68" s="50">
        <v>4.44921875</v>
      </c>
      <c r="X68" s="50">
        <v>8.8984375</v>
      </c>
      <c r="Y68" s="81">
        <v>4.44921875</v>
      </c>
      <c r="Z68" s="50">
        <v>8.8984375</v>
      </c>
      <c r="AA68" s="50">
        <v>0.41334594750000003</v>
      </c>
      <c r="AB68" s="50">
        <v>0.82669189500000007</v>
      </c>
      <c r="AC68" s="64">
        <v>3.71</v>
      </c>
      <c r="AD68" s="64"/>
      <c r="AE68" s="64"/>
      <c r="AF68" s="64"/>
      <c r="AG68" s="44">
        <v>144.91702246376252</v>
      </c>
      <c r="AH68" s="44">
        <v>65.722005652500002</v>
      </c>
    </row>
    <row r="69" spans="1:34" ht="22.5" customHeight="1">
      <c r="A69" s="89">
        <v>45</v>
      </c>
      <c r="B69" s="105" t="s">
        <v>75</v>
      </c>
      <c r="C69" s="33" t="s">
        <v>65</v>
      </c>
      <c r="D69" s="98">
        <v>29</v>
      </c>
      <c r="E69" s="98"/>
      <c r="F69" s="33" t="s">
        <v>54</v>
      </c>
      <c r="G69" s="33" t="s">
        <v>116</v>
      </c>
      <c r="H69" s="79" t="s">
        <v>45</v>
      </c>
      <c r="I69" s="79" t="s">
        <v>47</v>
      </c>
      <c r="J69" s="39" t="s">
        <v>46</v>
      </c>
      <c r="K69" s="34">
        <v>21</v>
      </c>
      <c r="L69" s="35" t="s">
        <v>84</v>
      </c>
      <c r="M69" s="35">
        <v>25.5</v>
      </c>
      <c r="N69" s="35" t="s">
        <v>84</v>
      </c>
      <c r="O69" s="36">
        <v>1.25</v>
      </c>
      <c r="P69" s="36">
        <v>2</v>
      </c>
      <c r="Q69" s="36"/>
      <c r="R69" s="36"/>
      <c r="S69" s="36"/>
      <c r="T69" s="36"/>
      <c r="U69" s="71">
        <v>2</v>
      </c>
      <c r="V69" s="204"/>
      <c r="W69" s="50">
        <v>3.71875</v>
      </c>
      <c r="X69" s="50">
        <v>7.4375</v>
      </c>
      <c r="Y69" s="81">
        <v>3.71875</v>
      </c>
      <c r="Z69" s="50">
        <v>7.4375</v>
      </c>
      <c r="AA69" s="50">
        <v>0.34548318</v>
      </c>
      <c r="AB69" s="50">
        <v>0.69096636</v>
      </c>
      <c r="AC69" s="64">
        <v>3.71</v>
      </c>
      <c r="AD69" s="64"/>
      <c r="AE69" s="64"/>
      <c r="AF69" s="64"/>
      <c r="AG69" s="44">
        <v>121.1246754921</v>
      </c>
      <c r="AH69" s="44">
        <v>54.931825619999998</v>
      </c>
    </row>
    <row r="70" spans="1:34" ht="22.5" customHeight="1">
      <c r="A70" s="89"/>
      <c r="B70" s="105"/>
      <c r="C70" s="33"/>
      <c r="D70" s="98"/>
      <c r="E70" s="98"/>
      <c r="F70" s="33"/>
      <c r="G70" s="33"/>
      <c r="H70" s="79"/>
      <c r="I70" s="79"/>
      <c r="J70" s="39"/>
      <c r="K70" s="34"/>
      <c r="L70" s="38"/>
      <c r="M70" s="35"/>
      <c r="N70" s="35"/>
      <c r="O70" s="36"/>
      <c r="P70" s="36"/>
      <c r="Q70" s="36"/>
      <c r="R70" s="36"/>
      <c r="S70" s="36"/>
      <c r="T70" s="36"/>
      <c r="U70" s="120">
        <f>SUBTOTAL(9,U58:U69)</f>
        <v>25</v>
      </c>
      <c r="V70" s="139"/>
      <c r="W70" s="129"/>
      <c r="X70" s="129"/>
      <c r="Y70" s="132"/>
      <c r="Z70" s="129"/>
      <c r="AA70" s="129"/>
      <c r="AB70" s="129"/>
      <c r="AC70" s="77"/>
      <c r="AD70" s="64"/>
      <c r="AE70" s="64"/>
      <c r="AF70" s="64"/>
      <c r="AG70" s="131">
        <f>SUBTOTAL(9,AG58:AG69)</f>
        <v>2973.3223912465501</v>
      </c>
      <c r="AH70" s="131">
        <f>SUBTOTAL(9,AH58:AH69)</f>
        <v>1348.4455289100001</v>
      </c>
    </row>
    <row r="71" spans="1:34" ht="22.5" customHeight="1">
      <c r="A71" s="89">
        <v>46</v>
      </c>
      <c r="B71" s="105" t="s">
        <v>70</v>
      </c>
      <c r="C71" s="33" t="s">
        <v>43</v>
      </c>
      <c r="D71" s="98">
        <v>1</v>
      </c>
      <c r="E71" s="98"/>
      <c r="F71" s="33" t="s">
        <v>54</v>
      </c>
      <c r="G71" s="33" t="s">
        <v>116</v>
      </c>
      <c r="H71" s="79" t="s">
        <v>58</v>
      </c>
      <c r="I71" s="79" t="s">
        <v>47</v>
      </c>
      <c r="J71" s="39" t="s">
        <v>46</v>
      </c>
      <c r="K71" s="34">
        <v>22.75</v>
      </c>
      <c r="L71" s="38" t="s">
        <v>84</v>
      </c>
      <c r="M71" s="35">
        <v>25.5</v>
      </c>
      <c r="N71" s="35" t="s">
        <v>84</v>
      </c>
      <c r="O71" s="36">
        <v>1.25</v>
      </c>
      <c r="P71" s="36"/>
      <c r="Q71" s="36">
        <v>2</v>
      </c>
      <c r="R71" s="36"/>
      <c r="S71" s="36"/>
      <c r="T71" s="36"/>
      <c r="U71" s="71">
        <v>2</v>
      </c>
      <c r="V71" s="202">
        <v>9</v>
      </c>
      <c r="W71" s="50">
        <v>4.028645833333333</v>
      </c>
      <c r="X71" s="50">
        <v>8.0572916666666661</v>
      </c>
      <c r="Y71" s="81">
        <v>4.028645833333333</v>
      </c>
      <c r="Z71" s="50">
        <v>8.0572916666666661</v>
      </c>
      <c r="AA71" s="50">
        <v>0.37427344499999998</v>
      </c>
      <c r="AB71" s="50">
        <v>0.74854688999999996</v>
      </c>
      <c r="AC71" s="64">
        <v>3.71</v>
      </c>
      <c r="AD71" s="64"/>
      <c r="AE71" s="64"/>
      <c r="AF71" s="64"/>
      <c r="AG71" s="44">
        <v>131.21839844977498</v>
      </c>
      <c r="AH71" s="44">
        <v>59.509477754999992</v>
      </c>
    </row>
    <row r="72" spans="1:34" ht="22.5" customHeight="1">
      <c r="A72" s="89">
        <v>47</v>
      </c>
      <c r="B72" s="105" t="s">
        <v>70</v>
      </c>
      <c r="C72" s="33" t="s">
        <v>43</v>
      </c>
      <c r="D72" s="98">
        <v>1</v>
      </c>
      <c r="E72" s="98"/>
      <c r="F72" s="33" t="s">
        <v>54</v>
      </c>
      <c r="G72" s="33" t="s">
        <v>116</v>
      </c>
      <c r="H72" s="79" t="s">
        <v>58</v>
      </c>
      <c r="I72" s="79" t="s">
        <v>47</v>
      </c>
      <c r="J72" s="39" t="s">
        <v>46</v>
      </c>
      <c r="K72" s="34">
        <v>45.75</v>
      </c>
      <c r="L72" s="38" t="s">
        <v>84</v>
      </c>
      <c r="M72" s="35">
        <v>25.5</v>
      </c>
      <c r="N72" s="35" t="s">
        <v>84</v>
      </c>
      <c r="O72" s="36">
        <v>1.25</v>
      </c>
      <c r="P72" s="36"/>
      <c r="Q72" s="36">
        <v>2</v>
      </c>
      <c r="R72" s="36"/>
      <c r="S72" s="36"/>
      <c r="T72" s="36"/>
      <c r="U72" s="71">
        <v>2</v>
      </c>
      <c r="V72" s="203"/>
      <c r="W72" s="50">
        <v>8.1015625</v>
      </c>
      <c r="X72" s="50">
        <v>16.203125</v>
      </c>
      <c r="Y72" s="81">
        <v>8.1015625</v>
      </c>
      <c r="Z72" s="50">
        <v>16.203125</v>
      </c>
      <c r="AA72" s="50">
        <v>0.75265978500000008</v>
      </c>
      <c r="AB72" s="50">
        <v>1.5053195700000002</v>
      </c>
      <c r="AC72" s="64">
        <v>3.71</v>
      </c>
      <c r="AD72" s="64"/>
      <c r="AE72" s="64"/>
      <c r="AF72" s="64"/>
      <c r="AG72" s="44">
        <v>263.87875732207499</v>
      </c>
      <c r="AH72" s="44">
        <v>119.67290581499999</v>
      </c>
    </row>
    <row r="73" spans="1:34" ht="22.5" customHeight="1">
      <c r="A73" s="89">
        <v>48</v>
      </c>
      <c r="B73" s="105" t="s">
        <v>70</v>
      </c>
      <c r="C73" s="33" t="s">
        <v>43</v>
      </c>
      <c r="D73" s="98">
        <v>1</v>
      </c>
      <c r="E73" s="98"/>
      <c r="F73" s="33" t="s">
        <v>54</v>
      </c>
      <c r="G73" s="33" t="s">
        <v>116</v>
      </c>
      <c r="H73" s="79" t="s">
        <v>58</v>
      </c>
      <c r="I73" s="79" t="s">
        <v>47</v>
      </c>
      <c r="J73" s="39" t="s">
        <v>46</v>
      </c>
      <c r="K73" s="38">
        <v>19.5</v>
      </c>
      <c r="L73" s="35" t="s">
        <v>84</v>
      </c>
      <c r="M73" s="38">
        <v>25.5</v>
      </c>
      <c r="N73" s="35" t="s">
        <v>84</v>
      </c>
      <c r="O73" s="36">
        <v>1.25</v>
      </c>
      <c r="P73" s="36"/>
      <c r="Q73" s="36">
        <v>2</v>
      </c>
      <c r="R73" s="36"/>
      <c r="S73" s="36"/>
      <c r="T73" s="36"/>
      <c r="U73" s="71">
        <v>2</v>
      </c>
      <c r="V73" s="203"/>
      <c r="W73" s="50">
        <v>3.453125</v>
      </c>
      <c r="X73" s="50">
        <v>6.90625</v>
      </c>
      <c r="Y73" s="81">
        <v>3.453125</v>
      </c>
      <c r="Z73" s="50">
        <v>6.90625</v>
      </c>
      <c r="AA73" s="50">
        <v>0.32080581000000002</v>
      </c>
      <c r="AB73" s="50">
        <v>0.64161162000000005</v>
      </c>
      <c r="AC73" s="64">
        <v>3.71</v>
      </c>
      <c r="AD73" s="64"/>
      <c r="AE73" s="64"/>
      <c r="AF73" s="64"/>
      <c r="AG73" s="44">
        <v>112.47291295695</v>
      </c>
      <c r="AH73" s="44">
        <v>51.008123789999999</v>
      </c>
    </row>
    <row r="74" spans="1:34" ht="22.5" customHeight="1">
      <c r="A74" s="89">
        <v>49</v>
      </c>
      <c r="B74" s="105" t="s">
        <v>70</v>
      </c>
      <c r="C74" s="33" t="s">
        <v>65</v>
      </c>
      <c r="D74" s="98">
        <v>3</v>
      </c>
      <c r="E74" s="98"/>
      <c r="F74" s="33" t="s">
        <v>54</v>
      </c>
      <c r="G74" s="33" t="s">
        <v>116</v>
      </c>
      <c r="H74" s="79" t="s">
        <v>58</v>
      </c>
      <c r="I74" s="79" t="s">
        <v>47</v>
      </c>
      <c r="J74" s="39" t="s">
        <v>46</v>
      </c>
      <c r="K74" s="34">
        <v>22.75</v>
      </c>
      <c r="L74" s="35" t="s">
        <v>84</v>
      </c>
      <c r="M74" s="35">
        <v>25.5</v>
      </c>
      <c r="N74" s="35" t="s">
        <v>84</v>
      </c>
      <c r="O74" s="36">
        <v>1.25</v>
      </c>
      <c r="P74" s="36"/>
      <c r="Q74" s="36">
        <v>2</v>
      </c>
      <c r="R74" s="36"/>
      <c r="S74" s="36"/>
      <c r="T74" s="36"/>
      <c r="U74" s="71">
        <v>2</v>
      </c>
      <c r="V74" s="203"/>
      <c r="W74" s="50">
        <v>4.028645833333333</v>
      </c>
      <c r="X74" s="50">
        <v>8.0572916666666661</v>
      </c>
      <c r="Y74" s="81">
        <v>4.028645833333333</v>
      </c>
      <c r="Z74" s="50">
        <v>8.0572916666666661</v>
      </c>
      <c r="AA74" s="50">
        <v>0.37427344499999998</v>
      </c>
      <c r="AB74" s="50">
        <v>0.74854688999999996</v>
      </c>
      <c r="AC74" s="64">
        <v>3.71</v>
      </c>
      <c r="AD74" s="64"/>
      <c r="AE74" s="64"/>
      <c r="AF74" s="64"/>
      <c r="AG74" s="44">
        <v>131.21839844977498</v>
      </c>
      <c r="AH74" s="44">
        <v>59.509477754999992</v>
      </c>
    </row>
    <row r="75" spans="1:34" ht="22.5" customHeight="1">
      <c r="A75" s="89">
        <v>50</v>
      </c>
      <c r="B75" s="105" t="s">
        <v>70</v>
      </c>
      <c r="C75" s="33" t="s">
        <v>65</v>
      </c>
      <c r="D75" s="98">
        <v>3</v>
      </c>
      <c r="E75" s="98"/>
      <c r="F75" s="33" t="s">
        <v>54</v>
      </c>
      <c r="G75" s="33" t="s">
        <v>116</v>
      </c>
      <c r="H75" s="79" t="s">
        <v>58</v>
      </c>
      <c r="I75" s="79" t="s">
        <v>47</v>
      </c>
      <c r="J75" s="39" t="s">
        <v>46</v>
      </c>
      <c r="K75" s="34">
        <v>45.75</v>
      </c>
      <c r="L75" s="35" t="s">
        <v>84</v>
      </c>
      <c r="M75" s="35">
        <v>25.5</v>
      </c>
      <c r="N75" s="35" t="s">
        <v>84</v>
      </c>
      <c r="O75" s="36">
        <v>1.25</v>
      </c>
      <c r="P75" s="36"/>
      <c r="Q75" s="36">
        <v>2</v>
      </c>
      <c r="R75" s="36"/>
      <c r="S75" s="36"/>
      <c r="T75" s="36"/>
      <c r="U75" s="71">
        <v>2</v>
      </c>
      <c r="V75" s="203"/>
      <c r="W75" s="50">
        <v>8.1015625</v>
      </c>
      <c r="X75" s="50">
        <v>16.203125</v>
      </c>
      <c r="Y75" s="81">
        <v>8.1015625</v>
      </c>
      <c r="Z75" s="50">
        <v>16.203125</v>
      </c>
      <c r="AA75" s="50">
        <v>0.75265978500000008</v>
      </c>
      <c r="AB75" s="50">
        <v>1.5053195700000002</v>
      </c>
      <c r="AC75" s="64">
        <v>3.71</v>
      </c>
      <c r="AD75" s="64"/>
      <c r="AE75" s="64"/>
      <c r="AF75" s="64"/>
      <c r="AG75" s="44">
        <v>263.87875732207499</v>
      </c>
      <c r="AH75" s="44">
        <v>119.67290581499999</v>
      </c>
    </row>
    <row r="76" spans="1:34" ht="22.5" customHeight="1">
      <c r="A76" s="89">
        <v>51</v>
      </c>
      <c r="B76" s="105" t="s">
        <v>70</v>
      </c>
      <c r="C76" s="33" t="s">
        <v>65</v>
      </c>
      <c r="D76" s="98">
        <v>3</v>
      </c>
      <c r="E76" s="98"/>
      <c r="F76" s="33" t="s">
        <v>54</v>
      </c>
      <c r="G76" s="33" t="s">
        <v>116</v>
      </c>
      <c r="H76" s="79" t="s">
        <v>58</v>
      </c>
      <c r="I76" s="79" t="s">
        <v>47</v>
      </c>
      <c r="J76" s="39" t="s">
        <v>46</v>
      </c>
      <c r="K76" s="34">
        <v>19.5</v>
      </c>
      <c r="L76" s="38" t="s">
        <v>84</v>
      </c>
      <c r="M76" s="35">
        <v>25.5</v>
      </c>
      <c r="N76" s="35" t="s">
        <v>84</v>
      </c>
      <c r="O76" s="36">
        <v>1.25</v>
      </c>
      <c r="P76" s="36"/>
      <c r="Q76" s="36">
        <v>2</v>
      </c>
      <c r="R76" s="36"/>
      <c r="S76" s="36"/>
      <c r="T76" s="36"/>
      <c r="U76" s="71">
        <v>2</v>
      </c>
      <c r="V76" s="203"/>
      <c r="W76" s="50">
        <v>3.453125</v>
      </c>
      <c r="X76" s="50">
        <v>6.90625</v>
      </c>
      <c r="Y76" s="81">
        <v>3.453125</v>
      </c>
      <c r="Z76" s="50">
        <v>6.90625</v>
      </c>
      <c r="AA76" s="50">
        <v>0.32080581000000002</v>
      </c>
      <c r="AB76" s="50">
        <v>0.64161162000000005</v>
      </c>
      <c r="AC76" s="64">
        <v>3.71</v>
      </c>
      <c r="AD76" s="64"/>
      <c r="AE76" s="64"/>
      <c r="AF76" s="64"/>
      <c r="AG76" s="44">
        <v>112.47291295695</v>
      </c>
      <c r="AH76" s="44">
        <v>51.008123789999999</v>
      </c>
    </row>
    <row r="77" spans="1:34" ht="22.5" customHeight="1">
      <c r="A77" s="89">
        <v>52</v>
      </c>
      <c r="B77" s="105" t="s">
        <v>71</v>
      </c>
      <c r="C77" s="33" t="s">
        <v>65</v>
      </c>
      <c r="D77" s="98">
        <v>5</v>
      </c>
      <c r="E77" s="98"/>
      <c r="F77" s="33" t="s">
        <v>54</v>
      </c>
      <c r="G77" s="33" t="s">
        <v>116</v>
      </c>
      <c r="H77" s="79" t="s">
        <v>58</v>
      </c>
      <c r="I77" s="79" t="s">
        <v>47</v>
      </c>
      <c r="J77" s="39" t="s">
        <v>46</v>
      </c>
      <c r="K77" s="34">
        <v>36.125</v>
      </c>
      <c r="L77" s="38" t="s">
        <v>84</v>
      </c>
      <c r="M77" s="35">
        <v>25.5</v>
      </c>
      <c r="N77" s="35" t="s">
        <v>84</v>
      </c>
      <c r="O77" s="36">
        <v>1.25</v>
      </c>
      <c r="P77" s="36"/>
      <c r="Q77" s="36">
        <v>1</v>
      </c>
      <c r="R77" s="36"/>
      <c r="S77" s="36"/>
      <c r="T77" s="36"/>
      <c r="U77" s="71">
        <v>1</v>
      </c>
      <c r="V77" s="203"/>
      <c r="W77" s="50">
        <v>6.397135416666667</v>
      </c>
      <c r="X77" s="50">
        <v>6.397135416666667</v>
      </c>
      <c r="Y77" s="81">
        <v>6.397135416666667</v>
      </c>
      <c r="Z77" s="50">
        <v>6.397135416666667</v>
      </c>
      <c r="AA77" s="50">
        <v>0.5943133275000001</v>
      </c>
      <c r="AB77" s="50">
        <v>0.5943133275000001</v>
      </c>
      <c r="AC77" s="64">
        <v>3.71</v>
      </c>
      <c r="AD77" s="64"/>
      <c r="AE77" s="64"/>
      <c r="AF77" s="64"/>
      <c r="AG77" s="44">
        <v>104.18164052743127</v>
      </c>
      <c r="AH77" s="44">
        <v>47.247909536250006</v>
      </c>
    </row>
    <row r="78" spans="1:34" ht="22.5" customHeight="1">
      <c r="A78" s="89">
        <v>53</v>
      </c>
      <c r="B78" s="105" t="s">
        <v>71</v>
      </c>
      <c r="C78" s="33" t="s">
        <v>65</v>
      </c>
      <c r="D78" s="98">
        <v>5</v>
      </c>
      <c r="E78" s="98"/>
      <c r="F78" s="33" t="s">
        <v>54</v>
      </c>
      <c r="G78" s="33" t="s">
        <v>116</v>
      </c>
      <c r="H78" s="79" t="s">
        <v>45</v>
      </c>
      <c r="I78" s="79" t="s">
        <v>47</v>
      </c>
      <c r="J78" s="39" t="s">
        <v>46</v>
      </c>
      <c r="K78" s="38">
        <v>21</v>
      </c>
      <c r="L78" s="35" t="s">
        <v>84</v>
      </c>
      <c r="M78" s="38">
        <v>25.5</v>
      </c>
      <c r="N78" s="35" t="s">
        <v>84</v>
      </c>
      <c r="O78" s="36">
        <v>1.25</v>
      </c>
      <c r="P78" s="36"/>
      <c r="Q78" s="36">
        <v>1</v>
      </c>
      <c r="R78" s="36"/>
      <c r="S78" s="36"/>
      <c r="T78" s="36"/>
      <c r="U78" s="71">
        <v>1</v>
      </c>
      <c r="V78" s="203"/>
      <c r="W78" s="50">
        <v>3.71875</v>
      </c>
      <c r="X78" s="50">
        <v>3.71875</v>
      </c>
      <c r="Y78" s="81">
        <v>3.71875</v>
      </c>
      <c r="Z78" s="50">
        <v>3.71875</v>
      </c>
      <c r="AA78" s="50">
        <v>0.34548318</v>
      </c>
      <c r="AB78" s="50">
        <v>0.34548318</v>
      </c>
      <c r="AC78" s="64">
        <v>3.71</v>
      </c>
      <c r="AD78" s="64"/>
      <c r="AE78" s="64"/>
      <c r="AF78" s="64"/>
      <c r="AG78" s="44">
        <v>60.562337746049998</v>
      </c>
      <c r="AH78" s="44">
        <v>27.465912809999999</v>
      </c>
    </row>
    <row r="79" spans="1:34" ht="22.5" customHeight="1">
      <c r="A79" s="89">
        <v>54</v>
      </c>
      <c r="B79" s="105" t="s">
        <v>72</v>
      </c>
      <c r="C79" s="33" t="s">
        <v>43</v>
      </c>
      <c r="D79" s="98">
        <v>7</v>
      </c>
      <c r="E79" s="98"/>
      <c r="F79" s="33" t="s">
        <v>54</v>
      </c>
      <c r="G79" s="33" t="s">
        <v>116</v>
      </c>
      <c r="H79" s="79" t="s">
        <v>58</v>
      </c>
      <c r="I79" s="79" t="s">
        <v>47</v>
      </c>
      <c r="J79" s="39" t="s">
        <v>46</v>
      </c>
      <c r="K79" s="34">
        <v>34.5</v>
      </c>
      <c r="L79" s="35" t="s">
        <v>84</v>
      </c>
      <c r="M79" s="35">
        <v>25.5</v>
      </c>
      <c r="N79" s="35" t="s">
        <v>84</v>
      </c>
      <c r="O79" s="36">
        <v>1.25</v>
      </c>
      <c r="P79" s="36"/>
      <c r="Q79" s="36">
        <v>3</v>
      </c>
      <c r="R79" s="36"/>
      <c r="S79" s="36"/>
      <c r="T79" s="36"/>
      <c r="U79" s="71">
        <v>3</v>
      </c>
      <c r="V79" s="203"/>
      <c r="W79" s="50">
        <v>6.109375</v>
      </c>
      <c r="X79" s="50">
        <v>18.328125</v>
      </c>
      <c r="Y79" s="81">
        <v>6.109375</v>
      </c>
      <c r="Z79" s="50">
        <v>18.328125</v>
      </c>
      <c r="AA79" s="50">
        <v>0.56757951000000006</v>
      </c>
      <c r="AB79" s="50">
        <v>1.7027385300000002</v>
      </c>
      <c r="AC79" s="64">
        <v>3.71</v>
      </c>
      <c r="AD79" s="64"/>
      <c r="AE79" s="64"/>
      <c r="AF79" s="64"/>
      <c r="AG79" s="44">
        <v>298.48580746267504</v>
      </c>
      <c r="AH79" s="44">
        <v>135.367713135</v>
      </c>
    </row>
    <row r="80" spans="1:34" ht="22.5" customHeight="1">
      <c r="A80" s="89">
        <v>55</v>
      </c>
      <c r="B80" s="105" t="s">
        <v>72</v>
      </c>
      <c r="C80" s="33" t="s">
        <v>43</v>
      </c>
      <c r="D80" s="98">
        <v>7</v>
      </c>
      <c r="E80" s="98"/>
      <c r="F80" s="33" t="s">
        <v>54</v>
      </c>
      <c r="G80" s="33" t="s">
        <v>116</v>
      </c>
      <c r="H80" s="79" t="s">
        <v>45</v>
      </c>
      <c r="I80" s="79" t="s">
        <v>47</v>
      </c>
      <c r="J80" s="39" t="s">
        <v>46</v>
      </c>
      <c r="K80" s="34">
        <v>39</v>
      </c>
      <c r="L80" s="38" t="s">
        <v>84</v>
      </c>
      <c r="M80" s="35">
        <v>25.5</v>
      </c>
      <c r="N80" s="35" t="s">
        <v>84</v>
      </c>
      <c r="O80" s="36">
        <v>1.25</v>
      </c>
      <c r="P80" s="36"/>
      <c r="Q80" s="36">
        <v>3</v>
      </c>
      <c r="R80" s="36"/>
      <c r="S80" s="36"/>
      <c r="T80" s="36"/>
      <c r="U80" s="71">
        <v>3</v>
      </c>
      <c r="V80" s="203"/>
      <c r="W80" s="50">
        <v>6.90625</v>
      </c>
      <c r="X80" s="50">
        <v>20.71875</v>
      </c>
      <c r="Y80" s="81">
        <v>6.90625</v>
      </c>
      <c r="Z80" s="50">
        <v>20.71875</v>
      </c>
      <c r="AA80" s="50">
        <v>0.64161162000000005</v>
      </c>
      <c r="AB80" s="50">
        <v>1.9248348600000003</v>
      </c>
      <c r="AC80" s="64">
        <v>3.71</v>
      </c>
      <c r="AD80" s="64"/>
      <c r="AE80" s="64"/>
      <c r="AF80" s="64"/>
      <c r="AG80" s="44">
        <v>337.41873887085006</v>
      </c>
      <c r="AH80" s="44">
        <v>153.02437137000001</v>
      </c>
    </row>
    <row r="81" spans="1:34" ht="22.5" customHeight="1">
      <c r="A81" s="89">
        <v>56</v>
      </c>
      <c r="B81" s="105" t="s">
        <v>76</v>
      </c>
      <c r="C81" s="33" t="s">
        <v>65</v>
      </c>
      <c r="D81" s="98">
        <v>44</v>
      </c>
      <c r="E81" s="98"/>
      <c r="F81" s="33" t="s">
        <v>54</v>
      </c>
      <c r="G81" s="33" t="s">
        <v>116</v>
      </c>
      <c r="H81" s="79" t="s">
        <v>58</v>
      </c>
      <c r="I81" s="79" t="s">
        <v>47</v>
      </c>
      <c r="J81" s="39" t="s">
        <v>46</v>
      </c>
      <c r="K81" s="34">
        <v>13.875</v>
      </c>
      <c r="L81" s="38" t="s">
        <v>84</v>
      </c>
      <c r="M81" s="35">
        <v>25.5</v>
      </c>
      <c r="N81" s="35" t="s">
        <v>84</v>
      </c>
      <c r="O81" s="36">
        <v>1.25</v>
      </c>
      <c r="P81" s="36"/>
      <c r="Q81" s="36">
        <v>1</v>
      </c>
      <c r="R81" s="36"/>
      <c r="S81" s="36"/>
      <c r="T81" s="36"/>
      <c r="U81" s="71">
        <v>1</v>
      </c>
      <c r="V81" s="203"/>
      <c r="W81" s="50">
        <v>2.45703125</v>
      </c>
      <c r="X81" s="50">
        <v>2.45703125</v>
      </c>
      <c r="Y81" s="81">
        <v>2.45703125</v>
      </c>
      <c r="Z81" s="50">
        <v>2.45703125</v>
      </c>
      <c r="AA81" s="50">
        <v>0.22826567250000002</v>
      </c>
      <c r="AB81" s="50">
        <v>0.22826567250000002</v>
      </c>
      <c r="AC81" s="64">
        <v>3.71</v>
      </c>
      <c r="AD81" s="64"/>
      <c r="AE81" s="64"/>
      <c r="AF81" s="64"/>
      <c r="AG81" s="44">
        <v>40.014401725068744</v>
      </c>
      <c r="AH81" s="44">
        <v>18.147120963749998</v>
      </c>
    </row>
    <row r="82" spans="1:34" ht="22.5" customHeight="1">
      <c r="A82" s="89">
        <v>57</v>
      </c>
      <c r="B82" s="105" t="s">
        <v>76</v>
      </c>
      <c r="C82" s="33" t="s">
        <v>65</v>
      </c>
      <c r="D82" s="98">
        <v>44</v>
      </c>
      <c r="E82" s="98"/>
      <c r="F82" s="33" t="s">
        <v>54</v>
      </c>
      <c r="G82" s="33" t="s">
        <v>116</v>
      </c>
      <c r="H82" s="79" t="s">
        <v>45</v>
      </c>
      <c r="I82" s="79" t="s">
        <v>47</v>
      </c>
      <c r="J82" s="39" t="s">
        <v>46</v>
      </c>
      <c r="K82" s="38">
        <v>39.25</v>
      </c>
      <c r="L82" s="35" t="s">
        <v>84</v>
      </c>
      <c r="M82" s="38">
        <v>25.5</v>
      </c>
      <c r="N82" s="35" t="s">
        <v>84</v>
      </c>
      <c r="O82" s="36">
        <v>1.25</v>
      </c>
      <c r="P82" s="36"/>
      <c r="Q82" s="36">
        <v>1</v>
      </c>
      <c r="R82" s="36"/>
      <c r="S82" s="36"/>
      <c r="T82" s="36"/>
      <c r="U82" s="71">
        <v>1</v>
      </c>
      <c r="V82" s="203"/>
      <c r="W82" s="50">
        <v>6.950520833333333</v>
      </c>
      <c r="X82" s="50">
        <v>6.950520833333333</v>
      </c>
      <c r="Y82" s="81">
        <v>6.950520833333333</v>
      </c>
      <c r="Z82" s="50">
        <v>6.950520833333333</v>
      </c>
      <c r="AA82" s="50">
        <v>0.64572451500000005</v>
      </c>
      <c r="AB82" s="50">
        <v>0.64572451500000005</v>
      </c>
      <c r="AC82" s="64">
        <v>3.71</v>
      </c>
      <c r="AD82" s="64"/>
      <c r="AE82" s="64"/>
      <c r="AF82" s="64"/>
      <c r="AG82" s="44">
        <v>113.1938931682125</v>
      </c>
      <c r="AH82" s="44">
        <v>51.335098942499997</v>
      </c>
    </row>
    <row r="83" spans="1:34" ht="22.5" customHeight="1">
      <c r="A83" s="89">
        <v>58</v>
      </c>
      <c r="B83" s="105" t="s">
        <v>76</v>
      </c>
      <c r="C83" s="33" t="s">
        <v>65</v>
      </c>
      <c r="D83" s="98">
        <v>44</v>
      </c>
      <c r="E83" s="98"/>
      <c r="F83" s="33" t="s">
        <v>54</v>
      </c>
      <c r="G83" s="33" t="s">
        <v>116</v>
      </c>
      <c r="H83" s="79" t="s">
        <v>45</v>
      </c>
      <c r="I83" s="79" t="s">
        <v>47</v>
      </c>
      <c r="J83" s="39" t="s">
        <v>46</v>
      </c>
      <c r="K83" s="34">
        <v>17.875</v>
      </c>
      <c r="L83" s="35" t="s">
        <v>84</v>
      </c>
      <c r="M83" s="35">
        <v>25.5</v>
      </c>
      <c r="N83" s="35" t="s">
        <v>84</v>
      </c>
      <c r="O83" s="36">
        <v>1.25</v>
      </c>
      <c r="P83" s="36"/>
      <c r="Q83" s="36">
        <v>1</v>
      </c>
      <c r="R83" s="36"/>
      <c r="S83" s="36"/>
      <c r="T83" s="36"/>
      <c r="U83" s="71">
        <v>1</v>
      </c>
      <c r="V83" s="204"/>
      <c r="W83" s="50">
        <v>3.1653645833333335</v>
      </c>
      <c r="X83" s="50">
        <v>3.1653645833333335</v>
      </c>
      <c r="Y83" s="81">
        <v>3.1653645833333335</v>
      </c>
      <c r="Z83" s="50">
        <v>3.1653645833333335</v>
      </c>
      <c r="AA83" s="50">
        <v>0.29407199250000005</v>
      </c>
      <c r="AB83" s="50">
        <v>0.29407199250000005</v>
      </c>
      <c r="AC83" s="64">
        <v>3.71</v>
      </c>
      <c r="AD83" s="64"/>
      <c r="AE83" s="64"/>
      <c r="AF83" s="64"/>
      <c r="AG83" s="44">
        <v>51.550085105268757</v>
      </c>
      <c r="AH83" s="44">
        <v>23.378723403750001</v>
      </c>
    </row>
    <row r="84" spans="1:34" ht="22.5" customHeight="1">
      <c r="A84" s="89"/>
      <c r="B84" s="105"/>
      <c r="C84" s="33"/>
      <c r="D84" s="98"/>
      <c r="E84" s="98"/>
      <c r="F84" s="33"/>
      <c r="G84" s="33"/>
      <c r="H84" s="79"/>
      <c r="I84" s="79"/>
      <c r="J84" s="39"/>
      <c r="K84" s="34"/>
      <c r="L84" s="35"/>
      <c r="M84" s="35"/>
      <c r="N84" s="35"/>
      <c r="O84" s="36"/>
      <c r="P84" s="36"/>
      <c r="Q84" s="36"/>
      <c r="R84" s="36"/>
      <c r="S84" s="36"/>
      <c r="T84" s="36"/>
      <c r="U84" s="120">
        <f>SUBTOTAL(9,U71:U83)</f>
        <v>23</v>
      </c>
      <c r="V84" s="139"/>
      <c r="W84" s="129"/>
      <c r="X84" s="129"/>
      <c r="Y84" s="132"/>
      <c r="Z84" s="129"/>
      <c r="AA84" s="129"/>
      <c r="AB84" s="129"/>
      <c r="AC84" s="77"/>
      <c r="AD84" s="64"/>
      <c r="AE84" s="64"/>
      <c r="AF84" s="64"/>
      <c r="AG84" s="131">
        <f>SUBTOTAL(9,AG71:AG83)</f>
        <v>2020.5470420631564</v>
      </c>
      <c r="AH84" s="131">
        <f>SUBTOTAL(9,AH71:AH83)</f>
        <v>916.34786488124996</v>
      </c>
    </row>
    <row r="85" spans="1:34" ht="22.5" customHeight="1">
      <c r="A85" s="89">
        <v>59</v>
      </c>
      <c r="B85" s="105" t="s">
        <v>72</v>
      </c>
      <c r="C85" s="33" t="s">
        <v>65</v>
      </c>
      <c r="D85" s="98">
        <v>10</v>
      </c>
      <c r="E85" s="98"/>
      <c r="F85" s="33" t="s">
        <v>54</v>
      </c>
      <c r="G85" s="33" t="s">
        <v>116</v>
      </c>
      <c r="H85" s="79" t="s">
        <v>58</v>
      </c>
      <c r="I85" s="79" t="s">
        <v>47</v>
      </c>
      <c r="J85" s="39" t="s">
        <v>46</v>
      </c>
      <c r="K85" s="34">
        <v>34.5</v>
      </c>
      <c r="L85" s="35" t="s">
        <v>84</v>
      </c>
      <c r="M85" s="35">
        <v>25.5</v>
      </c>
      <c r="N85" s="35" t="s">
        <v>84</v>
      </c>
      <c r="O85" s="36">
        <v>1.25</v>
      </c>
      <c r="P85" s="36"/>
      <c r="Q85" s="36">
        <v>3</v>
      </c>
      <c r="R85" s="36"/>
      <c r="S85" s="36"/>
      <c r="T85" s="36"/>
      <c r="U85" s="71">
        <v>3</v>
      </c>
      <c r="V85" s="202">
        <v>10</v>
      </c>
      <c r="W85" s="50">
        <v>6.109375</v>
      </c>
      <c r="X85" s="50">
        <v>18.328125</v>
      </c>
      <c r="Y85" s="81">
        <v>6.109375</v>
      </c>
      <c r="Z85" s="50">
        <v>18.328125</v>
      </c>
      <c r="AA85" s="50">
        <v>0.56757951000000006</v>
      </c>
      <c r="AB85" s="50">
        <v>1.7027385300000002</v>
      </c>
      <c r="AC85" s="64">
        <v>3.71</v>
      </c>
      <c r="AD85" s="64"/>
      <c r="AE85" s="64"/>
      <c r="AF85" s="64"/>
      <c r="AG85" s="44">
        <v>298.48580746267504</v>
      </c>
      <c r="AH85" s="44">
        <v>135.367713135</v>
      </c>
    </row>
    <row r="86" spans="1:34" ht="22.5" customHeight="1">
      <c r="A86" s="89">
        <v>60</v>
      </c>
      <c r="B86" s="105" t="s">
        <v>72</v>
      </c>
      <c r="C86" s="33" t="s">
        <v>65</v>
      </c>
      <c r="D86" s="98">
        <v>10</v>
      </c>
      <c r="E86" s="98"/>
      <c r="F86" s="33" t="s">
        <v>54</v>
      </c>
      <c r="G86" s="33" t="s">
        <v>116</v>
      </c>
      <c r="H86" s="79" t="s">
        <v>45</v>
      </c>
      <c r="I86" s="79" t="s">
        <v>47</v>
      </c>
      <c r="J86" s="39" t="s">
        <v>46</v>
      </c>
      <c r="K86" s="34">
        <v>39</v>
      </c>
      <c r="L86" s="38" t="s">
        <v>84</v>
      </c>
      <c r="M86" s="35">
        <v>25.5</v>
      </c>
      <c r="N86" s="35" t="s">
        <v>84</v>
      </c>
      <c r="O86" s="36">
        <v>1.25</v>
      </c>
      <c r="P86" s="36"/>
      <c r="Q86" s="36">
        <v>3</v>
      </c>
      <c r="R86" s="36"/>
      <c r="S86" s="36"/>
      <c r="T86" s="36"/>
      <c r="U86" s="71">
        <v>3</v>
      </c>
      <c r="V86" s="203"/>
      <c r="W86" s="50">
        <v>6.90625</v>
      </c>
      <c r="X86" s="50">
        <v>20.71875</v>
      </c>
      <c r="Y86" s="81">
        <v>6.90625</v>
      </c>
      <c r="Z86" s="50">
        <v>20.71875</v>
      </c>
      <c r="AA86" s="50">
        <v>0.64161162000000005</v>
      </c>
      <c r="AB86" s="50">
        <v>1.9248348600000003</v>
      </c>
      <c r="AC86" s="64">
        <v>3.71</v>
      </c>
      <c r="AD86" s="64"/>
      <c r="AE86" s="64"/>
      <c r="AF86" s="64"/>
      <c r="AG86" s="44">
        <v>337.41873887085006</v>
      </c>
      <c r="AH86" s="44">
        <v>153.02437137000001</v>
      </c>
    </row>
    <row r="87" spans="1:34" ht="22.5" customHeight="1">
      <c r="A87" s="89">
        <v>61</v>
      </c>
      <c r="B87" s="105" t="s">
        <v>73</v>
      </c>
      <c r="C87" s="33" t="s">
        <v>43</v>
      </c>
      <c r="D87" s="98">
        <v>13</v>
      </c>
      <c r="E87" s="98"/>
      <c r="F87" s="33" t="s">
        <v>54</v>
      </c>
      <c r="G87" s="33" t="s">
        <v>116</v>
      </c>
      <c r="H87" s="79" t="s">
        <v>45</v>
      </c>
      <c r="I87" s="79" t="s">
        <v>47</v>
      </c>
      <c r="J87" s="39" t="s">
        <v>46</v>
      </c>
      <c r="K87" s="34">
        <v>62.125</v>
      </c>
      <c r="L87" s="38" t="s">
        <v>84</v>
      </c>
      <c r="M87" s="35">
        <v>25.5</v>
      </c>
      <c r="N87" s="35" t="s">
        <v>84</v>
      </c>
      <c r="O87" s="36">
        <v>1.25</v>
      </c>
      <c r="P87" s="36"/>
      <c r="Q87" s="36">
        <v>1</v>
      </c>
      <c r="R87" s="36"/>
      <c r="S87" s="36"/>
      <c r="T87" s="36"/>
      <c r="U87" s="71">
        <v>1</v>
      </c>
      <c r="V87" s="203"/>
      <c r="W87" s="50">
        <v>11.001302083333334</v>
      </c>
      <c r="X87" s="50">
        <v>11.001302083333334</v>
      </c>
      <c r="Y87" s="81">
        <v>11.001302083333334</v>
      </c>
      <c r="Z87" s="50">
        <v>11.001302083333334</v>
      </c>
      <c r="AA87" s="50">
        <v>1.0220544075000002</v>
      </c>
      <c r="AB87" s="50">
        <v>1.0220544075000002</v>
      </c>
      <c r="AC87" s="64">
        <v>3.71</v>
      </c>
      <c r="AD87" s="64"/>
      <c r="AE87" s="64"/>
      <c r="AF87" s="64"/>
      <c r="AG87" s="44">
        <v>179.16358249873127</v>
      </c>
      <c r="AH87" s="44">
        <v>81.253325396250005</v>
      </c>
    </row>
    <row r="88" spans="1:34" ht="22.5" customHeight="1">
      <c r="A88" s="89">
        <v>62</v>
      </c>
      <c r="B88" s="105" t="s">
        <v>73</v>
      </c>
      <c r="C88" s="33" t="s">
        <v>43</v>
      </c>
      <c r="D88" s="98">
        <v>13</v>
      </c>
      <c r="E88" s="98"/>
      <c r="F88" s="33" t="s">
        <v>54</v>
      </c>
      <c r="G88" s="33" t="s">
        <v>116</v>
      </c>
      <c r="H88" s="79" t="s">
        <v>45</v>
      </c>
      <c r="I88" s="79" t="s">
        <v>47</v>
      </c>
      <c r="J88" s="39" t="s">
        <v>46</v>
      </c>
      <c r="K88" s="38">
        <v>24</v>
      </c>
      <c r="L88" s="35" t="s">
        <v>84</v>
      </c>
      <c r="M88" s="38">
        <v>25.5</v>
      </c>
      <c r="N88" s="35" t="s">
        <v>84</v>
      </c>
      <c r="O88" s="36">
        <v>1.25</v>
      </c>
      <c r="P88" s="36"/>
      <c r="Q88" s="36">
        <v>1</v>
      </c>
      <c r="R88" s="36"/>
      <c r="S88" s="36"/>
      <c r="T88" s="36"/>
      <c r="U88" s="71">
        <v>1</v>
      </c>
      <c r="V88" s="203"/>
      <c r="W88" s="50">
        <v>4.25</v>
      </c>
      <c r="X88" s="50">
        <v>4.25</v>
      </c>
      <c r="Y88" s="81">
        <v>4.25</v>
      </c>
      <c r="Z88" s="50">
        <v>4.25</v>
      </c>
      <c r="AA88" s="50">
        <v>0.39483792000000001</v>
      </c>
      <c r="AB88" s="50">
        <v>0.39483792000000001</v>
      </c>
      <c r="AC88" s="64">
        <v>3.71</v>
      </c>
      <c r="AD88" s="64"/>
      <c r="AE88" s="64"/>
      <c r="AF88" s="64"/>
      <c r="AG88" s="44">
        <v>69.21410028119999</v>
      </c>
      <c r="AH88" s="44">
        <v>31.389614639999994</v>
      </c>
    </row>
    <row r="89" spans="1:34" ht="22.5" customHeight="1">
      <c r="A89" s="89">
        <v>63</v>
      </c>
      <c r="B89" s="105" t="s">
        <v>73</v>
      </c>
      <c r="C89" s="33" t="s">
        <v>65</v>
      </c>
      <c r="D89" s="98">
        <v>16</v>
      </c>
      <c r="E89" s="98"/>
      <c r="F89" s="33" t="s">
        <v>54</v>
      </c>
      <c r="G89" s="33" t="s">
        <v>116</v>
      </c>
      <c r="H89" s="79" t="s">
        <v>45</v>
      </c>
      <c r="I89" s="79" t="s">
        <v>47</v>
      </c>
      <c r="J89" s="39" t="s">
        <v>46</v>
      </c>
      <c r="K89" s="34">
        <v>62.125</v>
      </c>
      <c r="L89" s="35" t="s">
        <v>84</v>
      </c>
      <c r="M89" s="35">
        <v>25.5</v>
      </c>
      <c r="N89" s="35" t="s">
        <v>84</v>
      </c>
      <c r="O89" s="36">
        <v>1.25</v>
      </c>
      <c r="P89" s="36"/>
      <c r="Q89" s="36">
        <v>4</v>
      </c>
      <c r="R89" s="36"/>
      <c r="S89" s="36"/>
      <c r="T89" s="36"/>
      <c r="U89" s="71">
        <v>4</v>
      </c>
      <c r="V89" s="203"/>
      <c r="W89" s="50">
        <v>11.001302083333334</v>
      </c>
      <c r="X89" s="50">
        <v>44.005208333333336</v>
      </c>
      <c r="Y89" s="81">
        <v>11.001302083333334</v>
      </c>
      <c r="Z89" s="50">
        <v>44.005208333333336</v>
      </c>
      <c r="AA89" s="50">
        <v>1.0220544075000002</v>
      </c>
      <c r="AB89" s="50">
        <v>4.0882176300000008</v>
      </c>
      <c r="AC89" s="64">
        <v>3.71</v>
      </c>
      <c r="AD89" s="64"/>
      <c r="AE89" s="64"/>
      <c r="AF89" s="64"/>
      <c r="AG89" s="44">
        <v>716.65432999492509</v>
      </c>
      <c r="AH89" s="44">
        <v>325.01330158500002</v>
      </c>
    </row>
    <row r="90" spans="1:34" ht="22.5" customHeight="1">
      <c r="A90" s="89">
        <v>64</v>
      </c>
      <c r="B90" s="105" t="s">
        <v>73</v>
      </c>
      <c r="C90" s="33" t="s">
        <v>65</v>
      </c>
      <c r="D90" s="98">
        <v>16</v>
      </c>
      <c r="E90" s="98"/>
      <c r="F90" s="33" t="s">
        <v>54</v>
      </c>
      <c r="G90" s="33" t="s">
        <v>116</v>
      </c>
      <c r="H90" s="79" t="s">
        <v>45</v>
      </c>
      <c r="I90" s="79" t="s">
        <v>47</v>
      </c>
      <c r="J90" s="39" t="s">
        <v>46</v>
      </c>
      <c r="K90" s="34">
        <v>24</v>
      </c>
      <c r="L90" s="38" t="s">
        <v>84</v>
      </c>
      <c r="M90" s="35">
        <v>25.5</v>
      </c>
      <c r="N90" s="35" t="s">
        <v>84</v>
      </c>
      <c r="O90" s="36">
        <v>1.25</v>
      </c>
      <c r="P90" s="36"/>
      <c r="Q90" s="36">
        <v>4</v>
      </c>
      <c r="R90" s="36"/>
      <c r="S90" s="36"/>
      <c r="T90" s="36"/>
      <c r="U90" s="71">
        <v>4</v>
      </c>
      <c r="V90" s="203"/>
      <c r="W90" s="50">
        <v>4.25</v>
      </c>
      <c r="X90" s="50">
        <v>17</v>
      </c>
      <c r="Y90" s="81">
        <v>4.25</v>
      </c>
      <c r="Z90" s="50">
        <v>17</v>
      </c>
      <c r="AA90" s="50">
        <v>0.39483792000000001</v>
      </c>
      <c r="AB90" s="50">
        <v>1.57935168</v>
      </c>
      <c r="AC90" s="64">
        <v>3.71</v>
      </c>
      <c r="AD90" s="64"/>
      <c r="AE90" s="64"/>
      <c r="AF90" s="64"/>
      <c r="AG90" s="44">
        <v>276.85640112479996</v>
      </c>
      <c r="AH90" s="44">
        <v>125.55845855999998</v>
      </c>
    </row>
    <row r="91" spans="1:34" ht="22.5" customHeight="1">
      <c r="A91" s="89">
        <v>65</v>
      </c>
      <c r="B91" s="105" t="s">
        <v>74</v>
      </c>
      <c r="C91" s="33" t="s">
        <v>65</v>
      </c>
      <c r="D91" s="98">
        <v>22</v>
      </c>
      <c r="E91" s="98"/>
      <c r="F91" s="33" t="s">
        <v>54</v>
      </c>
      <c r="G91" s="33" t="s">
        <v>116</v>
      </c>
      <c r="H91" s="79" t="s">
        <v>58</v>
      </c>
      <c r="I91" s="79" t="s">
        <v>47</v>
      </c>
      <c r="J91" s="39" t="s">
        <v>46</v>
      </c>
      <c r="K91" s="34">
        <v>92.25</v>
      </c>
      <c r="L91" s="38" t="s">
        <v>84</v>
      </c>
      <c r="M91" s="35">
        <v>25.5</v>
      </c>
      <c r="N91" s="35" t="s">
        <v>84</v>
      </c>
      <c r="O91" s="36">
        <v>1.25</v>
      </c>
      <c r="P91" s="36"/>
      <c r="Q91" s="36">
        <v>1</v>
      </c>
      <c r="R91" s="36"/>
      <c r="S91" s="36"/>
      <c r="T91" s="36"/>
      <c r="U91" s="71">
        <v>1</v>
      </c>
      <c r="V91" s="203"/>
      <c r="W91" s="50">
        <v>16.3359375</v>
      </c>
      <c r="X91" s="50">
        <v>16.3359375</v>
      </c>
      <c r="Y91" s="81">
        <v>16.3359375</v>
      </c>
      <c r="Z91" s="50">
        <v>16.3359375</v>
      </c>
      <c r="AA91" s="50">
        <v>1.5176582550000002</v>
      </c>
      <c r="AB91" s="50">
        <v>1.5176582550000002</v>
      </c>
      <c r="AC91" s="64">
        <v>3.71</v>
      </c>
      <c r="AD91" s="64"/>
      <c r="AE91" s="64"/>
      <c r="AF91" s="64"/>
      <c r="AG91" s="44">
        <v>266.04169795586256</v>
      </c>
      <c r="AH91" s="44">
        <v>120.65383127250001</v>
      </c>
    </row>
    <row r="92" spans="1:34" ht="22.5" customHeight="1">
      <c r="A92" s="89">
        <v>66</v>
      </c>
      <c r="B92" s="105" t="s">
        <v>74</v>
      </c>
      <c r="C92" s="33" t="s">
        <v>65</v>
      </c>
      <c r="D92" s="98">
        <v>22</v>
      </c>
      <c r="E92" s="98"/>
      <c r="F92" s="33" t="s">
        <v>54</v>
      </c>
      <c r="G92" s="33" t="s">
        <v>116</v>
      </c>
      <c r="H92" s="79" t="s">
        <v>58</v>
      </c>
      <c r="I92" s="79" t="s">
        <v>47</v>
      </c>
      <c r="J92" s="39" t="s">
        <v>46</v>
      </c>
      <c r="K92" s="38">
        <v>58.875</v>
      </c>
      <c r="L92" s="35" t="s">
        <v>84</v>
      </c>
      <c r="M92" s="38">
        <v>25.5</v>
      </c>
      <c r="N92" s="35" t="s">
        <v>84</v>
      </c>
      <c r="O92" s="36">
        <v>1.25</v>
      </c>
      <c r="P92" s="36"/>
      <c r="Q92" s="36">
        <v>1</v>
      </c>
      <c r="R92" s="36"/>
      <c r="S92" s="36"/>
      <c r="T92" s="36"/>
      <c r="U92" s="71">
        <v>1</v>
      </c>
      <c r="V92" s="203"/>
      <c r="W92" s="50">
        <v>10.42578125</v>
      </c>
      <c r="X92" s="50">
        <v>10.42578125</v>
      </c>
      <c r="Y92" s="81">
        <v>10.42578125</v>
      </c>
      <c r="Z92" s="50">
        <v>10.42578125</v>
      </c>
      <c r="AA92" s="50">
        <v>0.96858677250000003</v>
      </c>
      <c r="AB92" s="50">
        <v>0.96858677250000003</v>
      </c>
      <c r="AC92" s="64">
        <v>3.71</v>
      </c>
      <c r="AD92" s="64"/>
      <c r="AE92" s="64"/>
      <c r="AF92" s="64"/>
      <c r="AG92" s="44">
        <v>169.79083975231873</v>
      </c>
      <c r="AH92" s="44">
        <v>77.002648413749995</v>
      </c>
    </row>
    <row r="93" spans="1:34" ht="22.5" customHeight="1">
      <c r="A93" s="89">
        <v>67</v>
      </c>
      <c r="B93" s="105" t="s">
        <v>74</v>
      </c>
      <c r="C93" s="33" t="s">
        <v>65</v>
      </c>
      <c r="D93" s="98">
        <v>22</v>
      </c>
      <c r="E93" s="98"/>
      <c r="F93" s="33" t="s">
        <v>54</v>
      </c>
      <c r="G93" s="33" t="s">
        <v>116</v>
      </c>
      <c r="H93" s="79" t="s">
        <v>45</v>
      </c>
      <c r="I93" s="79" t="s">
        <v>47</v>
      </c>
      <c r="J93" s="39" t="s">
        <v>46</v>
      </c>
      <c r="K93" s="34">
        <v>30</v>
      </c>
      <c r="L93" s="35" t="s">
        <v>84</v>
      </c>
      <c r="M93" s="35">
        <v>25.5</v>
      </c>
      <c r="N93" s="35" t="s">
        <v>84</v>
      </c>
      <c r="O93" s="36">
        <v>1.25</v>
      </c>
      <c r="P93" s="36"/>
      <c r="Q93" s="36">
        <v>1</v>
      </c>
      <c r="R93" s="36"/>
      <c r="S93" s="36"/>
      <c r="T93" s="36"/>
      <c r="U93" s="71">
        <v>1</v>
      </c>
      <c r="V93" s="203"/>
      <c r="W93" s="50">
        <v>5.3125</v>
      </c>
      <c r="X93" s="50">
        <v>5.3125</v>
      </c>
      <c r="Y93" s="81">
        <v>5.3125</v>
      </c>
      <c r="Z93" s="50">
        <v>5.3125</v>
      </c>
      <c r="AA93" s="50">
        <v>0.49354740000000002</v>
      </c>
      <c r="AB93" s="50">
        <v>0.49354740000000002</v>
      </c>
      <c r="AC93" s="64">
        <v>3.71</v>
      </c>
      <c r="AD93" s="64"/>
      <c r="AE93" s="64"/>
      <c r="AF93" s="64"/>
      <c r="AG93" s="44">
        <v>86.517625351500016</v>
      </c>
      <c r="AH93" s="44">
        <v>39.237018300000003</v>
      </c>
    </row>
    <row r="94" spans="1:34" ht="22.5" customHeight="1">
      <c r="A94" s="89">
        <v>68</v>
      </c>
      <c r="B94" s="105" t="s">
        <v>75</v>
      </c>
      <c r="C94" s="33" t="s">
        <v>65</v>
      </c>
      <c r="D94" s="98">
        <v>29</v>
      </c>
      <c r="E94" s="98"/>
      <c r="F94" s="33" t="s">
        <v>54</v>
      </c>
      <c r="G94" s="33" t="s">
        <v>116</v>
      </c>
      <c r="H94" s="79" t="s">
        <v>58</v>
      </c>
      <c r="I94" s="79" t="s">
        <v>47</v>
      </c>
      <c r="J94" s="39" t="s">
        <v>46</v>
      </c>
      <c r="K94" s="34">
        <v>53.25</v>
      </c>
      <c r="L94" s="38" t="s">
        <v>84</v>
      </c>
      <c r="M94" s="35">
        <v>25.5</v>
      </c>
      <c r="N94" s="35" t="s">
        <v>84</v>
      </c>
      <c r="O94" s="36">
        <v>1.25</v>
      </c>
      <c r="P94" s="36"/>
      <c r="Q94" s="36">
        <v>2</v>
      </c>
      <c r="R94" s="36"/>
      <c r="S94" s="36"/>
      <c r="T94" s="36"/>
      <c r="U94" s="71">
        <v>2</v>
      </c>
      <c r="V94" s="203"/>
      <c r="W94" s="50">
        <v>9.4296875</v>
      </c>
      <c r="X94" s="50">
        <v>18.859375</v>
      </c>
      <c r="Y94" s="81">
        <v>9.4296875</v>
      </c>
      <c r="Z94" s="50">
        <v>18.859375</v>
      </c>
      <c r="AA94" s="50">
        <v>0.87604663500000002</v>
      </c>
      <c r="AB94" s="50">
        <v>1.75209327</v>
      </c>
      <c r="AC94" s="64">
        <v>3.71</v>
      </c>
      <c r="AD94" s="64"/>
      <c r="AE94" s="64"/>
      <c r="AF94" s="64"/>
      <c r="AG94" s="44">
        <v>307.13756999782493</v>
      </c>
      <c r="AH94" s="44">
        <v>139.29141496499997</v>
      </c>
    </row>
    <row r="95" spans="1:34" ht="22.5" customHeight="1">
      <c r="A95" s="89">
        <v>69</v>
      </c>
      <c r="B95" s="105" t="s">
        <v>75</v>
      </c>
      <c r="C95" s="33" t="s">
        <v>65</v>
      </c>
      <c r="D95" s="98">
        <v>29</v>
      </c>
      <c r="E95" s="98"/>
      <c r="F95" s="33" t="s">
        <v>54</v>
      </c>
      <c r="G95" s="33" t="s">
        <v>116</v>
      </c>
      <c r="H95" s="79" t="s">
        <v>58</v>
      </c>
      <c r="I95" s="79" t="s">
        <v>47</v>
      </c>
      <c r="J95" s="39" t="s">
        <v>46</v>
      </c>
      <c r="K95" s="34">
        <v>25.125</v>
      </c>
      <c r="L95" s="38" t="s">
        <v>84</v>
      </c>
      <c r="M95" s="35">
        <v>25.5</v>
      </c>
      <c r="N95" s="35" t="s">
        <v>84</v>
      </c>
      <c r="O95" s="36">
        <v>1.25</v>
      </c>
      <c r="P95" s="36"/>
      <c r="Q95" s="36">
        <v>2</v>
      </c>
      <c r="R95" s="36"/>
      <c r="S95" s="36"/>
      <c r="T95" s="36"/>
      <c r="U95" s="71">
        <v>2</v>
      </c>
      <c r="V95" s="203"/>
      <c r="W95" s="50">
        <v>4.44921875</v>
      </c>
      <c r="X95" s="50">
        <v>8.8984375</v>
      </c>
      <c r="Y95" s="81">
        <v>4.44921875</v>
      </c>
      <c r="Z95" s="50">
        <v>8.8984375</v>
      </c>
      <c r="AA95" s="50">
        <v>0.41334594750000003</v>
      </c>
      <c r="AB95" s="50">
        <v>0.82669189500000007</v>
      </c>
      <c r="AC95" s="64">
        <v>3.71</v>
      </c>
      <c r="AD95" s="64"/>
      <c r="AE95" s="64"/>
      <c r="AF95" s="64"/>
      <c r="AG95" s="44">
        <v>144.91702246376252</v>
      </c>
      <c r="AH95" s="44">
        <v>65.722005652500002</v>
      </c>
    </row>
    <row r="96" spans="1:34" ht="22.5" customHeight="1">
      <c r="A96" s="89">
        <v>70</v>
      </c>
      <c r="B96" s="104" t="s">
        <v>75</v>
      </c>
      <c r="C96" s="33" t="s">
        <v>65</v>
      </c>
      <c r="D96" s="98">
        <v>29</v>
      </c>
      <c r="E96" s="98"/>
      <c r="F96" s="33" t="s">
        <v>54</v>
      </c>
      <c r="G96" s="33" t="s">
        <v>116</v>
      </c>
      <c r="H96" s="79" t="s">
        <v>45</v>
      </c>
      <c r="I96" s="79" t="s">
        <v>47</v>
      </c>
      <c r="J96" s="39" t="s">
        <v>46</v>
      </c>
      <c r="K96" s="38">
        <v>21</v>
      </c>
      <c r="L96" s="80" t="s">
        <v>84</v>
      </c>
      <c r="M96" s="38">
        <v>25.5</v>
      </c>
      <c r="N96" s="35" t="s">
        <v>84</v>
      </c>
      <c r="O96" s="36">
        <v>1.25</v>
      </c>
      <c r="P96" s="36"/>
      <c r="Q96" s="36">
        <v>2</v>
      </c>
      <c r="R96" s="36"/>
      <c r="S96" s="36"/>
      <c r="T96" s="36"/>
      <c r="U96" s="71">
        <v>2</v>
      </c>
      <c r="V96" s="204"/>
      <c r="W96" s="50">
        <v>3.71875</v>
      </c>
      <c r="X96" s="50">
        <v>7.4375</v>
      </c>
      <c r="Y96" s="81">
        <v>3.71875</v>
      </c>
      <c r="Z96" s="50">
        <v>7.4375</v>
      </c>
      <c r="AA96" s="50">
        <v>0.34548318</v>
      </c>
      <c r="AB96" s="50">
        <v>0.69096636</v>
      </c>
      <c r="AC96" s="64">
        <v>3.71</v>
      </c>
      <c r="AD96" s="64"/>
      <c r="AE96" s="64"/>
      <c r="AF96" s="64"/>
      <c r="AG96" s="44">
        <v>121.1246754921</v>
      </c>
      <c r="AH96" s="44">
        <v>54.931825619999998</v>
      </c>
    </row>
    <row r="97" spans="1:34" ht="22.5" customHeight="1">
      <c r="A97" s="89"/>
      <c r="B97" s="105"/>
      <c r="C97" s="33"/>
      <c r="D97" s="98"/>
      <c r="E97" s="98"/>
      <c r="F97" s="33"/>
      <c r="G97" s="33"/>
      <c r="H97" s="79"/>
      <c r="I97" s="79"/>
      <c r="J97" s="39"/>
      <c r="K97" s="38"/>
      <c r="L97" s="80"/>
      <c r="M97" s="38"/>
      <c r="N97" s="35"/>
      <c r="O97" s="36"/>
      <c r="P97" s="36"/>
      <c r="Q97" s="36"/>
      <c r="R97" s="36"/>
      <c r="S97" s="36"/>
      <c r="T97" s="36"/>
      <c r="U97" s="120">
        <f>SUBTOTAL(9,U85:U96)</f>
        <v>25</v>
      </c>
      <c r="V97" s="139"/>
      <c r="W97" s="129"/>
      <c r="X97" s="129"/>
      <c r="Y97" s="132"/>
      <c r="Z97" s="129"/>
      <c r="AA97" s="129"/>
      <c r="AB97" s="129"/>
      <c r="AC97" s="77"/>
      <c r="AD97" s="64"/>
      <c r="AE97" s="64"/>
      <c r="AF97" s="64"/>
      <c r="AG97" s="131">
        <f>SUBTOTAL(9,AG85:AG96)</f>
        <v>2973.3223912465501</v>
      </c>
      <c r="AH97" s="131">
        <f>SUBTOTAL(9,AH85:AH96)</f>
        <v>1348.4455289100001</v>
      </c>
    </row>
    <row r="98" spans="1:34" ht="22.5" customHeight="1">
      <c r="A98" s="89">
        <v>71</v>
      </c>
      <c r="B98" s="105" t="s">
        <v>70</v>
      </c>
      <c r="C98" s="33" t="s">
        <v>43</v>
      </c>
      <c r="D98" s="98">
        <v>1</v>
      </c>
      <c r="E98" s="98"/>
      <c r="F98" s="33" t="s">
        <v>54</v>
      </c>
      <c r="G98" s="33" t="s">
        <v>116</v>
      </c>
      <c r="H98" s="79" t="s">
        <v>58</v>
      </c>
      <c r="I98" s="79" t="s">
        <v>47</v>
      </c>
      <c r="J98" s="39" t="s">
        <v>46</v>
      </c>
      <c r="K98" s="34">
        <v>97.375</v>
      </c>
      <c r="L98" s="35" t="s">
        <v>84</v>
      </c>
      <c r="M98" s="35">
        <v>43.625</v>
      </c>
      <c r="N98" s="35" t="s">
        <v>84</v>
      </c>
      <c r="O98" s="36">
        <v>1.25</v>
      </c>
      <c r="P98" s="36"/>
      <c r="Q98" s="36"/>
      <c r="R98" s="36">
        <v>2</v>
      </c>
      <c r="S98" s="36"/>
      <c r="T98" s="36"/>
      <c r="U98" s="71">
        <v>2</v>
      </c>
      <c r="V98" s="202">
        <v>11</v>
      </c>
      <c r="W98" s="50">
        <v>29.499891493055557</v>
      </c>
      <c r="X98" s="50">
        <v>58.999782986111114</v>
      </c>
      <c r="Y98" s="109">
        <v>29.49</v>
      </c>
      <c r="Z98" s="50">
        <v>58.98</v>
      </c>
      <c r="AA98" s="50">
        <v>2.7406295993750005</v>
      </c>
      <c r="AB98" s="50">
        <v>5.481259198750001</v>
      </c>
      <c r="AC98" s="64">
        <v>4.01</v>
      </c>
      <c r="AD98" s="64"/>
      <c r="AE98" s="64"/>
      <c r="AF98" s="64"/>
      <c r="AG98" s="44">
        <v>960.85103439287832</v>
      </c>
      <c r="AH98" s="44">
        <v>435.76010630062507</v>
      </c>
    </row>
    <row r="99" spans="1:34" ht="22.5" customHeight="1">
      <c r="A99" s="89">
        <v>72</v>
      </c>
      <c r="B99" s="105" t="s">
        <v>70</v>
      </c>
      <c r="C99" s="33" t="s">
        <v>65</v>
      </c>
      <c r="D99" s="98">
        <v>3</v>
      </c>
      <c r="E99" s="98"/>
      <c r="F99" s="33" t="s">
        <v>54</v>
      </c>
      <c r="G99" s="33" t="s">
        <v>116</v>
      </c>
      <c r="H99" s="79" t="s">
        <v>58</v>
      </c>
      <c r="I99" s="79" t="s">
        <v>47</v>
      </c>
      <c r="J99" s="39" t="s">
        <v>46</v>
      </c>
      <c r="K99" s="34">
        <v>97.375</v>
      </c>
      <c r="L99" s="38" t="s">
        <v>84</v>
      </c>
      <c r="M99" s="35">
        <v>43.625</v>
      </c>
      <c r="N99" s="35" t="s">
        <v>84</v>
      </c>
      <c r="O99" s="36">
        <v>1.25</v>
      </c>
      <c r="P99" s="36"/>
      <c r="Q99" s="36"/>
      <c r="R99" s="36">
        <v>3</v>
      </c>
      <c r="S99" s="36"/>
      <c r="T99" s="36"/>
      <c r="U99" s="71">
        <v>3</v>
      </c>
      <c r="V99" s="203"/>
      <c r="W99" s="50">
        <v>29.499891493055557</v>
      </c>
      <c r="X99" s="50">
        <v>88.499674479166671</v>
      </c>
      <c r="Y99" s="109">
        <v>29.49</v>
      </c>
      <c r="Z99" s="50">
        <v>88.47</v>
      </c>
      <c r="AA99" s="50">
        <v>2.7406295993750005</v>
      </c>
      <c r="AB99" s="50">
        <v>8.2218887981250006</v>
      </c>
      <c r="AC99" s="64">
        <v>4.01</v>
      </c>
      <c r="AD99" s="64"/>
      <c r="AE99" s="64"/>
      <c r="AF99" s="64"/>
      <c r="AG99" s="44">
        <v>1441.276551589317</v>
      </c>
      <c r="AH99" s="44">
        <v>653.6401594509374</v>
      </c>
    </row>
    <row r="100" spans="1:34" ht="22.5" customHeight="1">
      <c r="A100" s="89">
        <v>73</v>
      </c>
      <c r="B100" s="105" t="s">
        <v>72</v>
      </c>
      <c r="C100" s="33" t="s">
        <v>43</v>
      </c>
      <c r="D100" s="98">
        <v>7</v>
      </c>
      <c r="E100" s="98"/>
      <c r="F100" s="33" t="s">
        <v>54</v>
      </c>
      <c r="G100" s="33" t="s">
        <v>116</v>
      </c>
      <c r="H100" s="79" t="s">
        <v>58</v>
      </c>
      <c r="I100" s="79" t="s">
        <v>47</v>
      </c>
      <c r="J100" s="39" t="s">
        <v>46</v>
      </c>
      <c r="K100" s="34">
        <v>98.25</v>
      </c>
      <c r="L100" s="38" t="s">
        <v>84</v>
      </c>
      <c r="M100" s="35">
        <v>43.625</v>
      </c>
      <c r="N100" s="35" t="s">
        <v>84</v>
      </c>
      <c r="O100" s="36">
        <v>1.25</v>
      </c>
      <c r="P100" s="36"/>
      <c r="Q100" s="36"/>
      <c r="R100" s="36">
        <v>2</v>
      </c>
      <c r="S100" s="36"/>
      <c r="T100" s="36"/>
      <c r="U100" s="71">
        <v>2</v>
      </c>
      <c r="V100" s="204"/>
      <c r="W100" s="50">
        <v>29.764973958333332</v>
      </c>
      <c r="X100" s="50">
        <v>59.529947916666664</v>
      </c>
      <c r="Y100" s="109">
        <v>29.75</v>
      </c>
      <c r="Z100" s="50">
        <v>59.5</v>
      </c>
      <c r="AA100" s="50">
        <v>2.7652565662500002</v>
      </c>
      <c r="AB100" s="50">
        <v>5.5305131325000003</v>
      </c>
      <c r="AC100" s="64">
        <v>4.01</v>
      </c>
      <c r="AD100" s="64"/>
      <c r="AE100" s="64"/>
      <c r="AF100" s="64"/>
      <c r="AG100" s="44">
        <v>969.48512584441892</v>
      </c>
      <c r="AH100" s="44">
        <v>439.67579403375004</v>
      </c>
    </row>
    <row r="101" spans="1:34" ht="22.5" customHeight="1">
      <c r="A101" s="89"/>
      <c r="B101" s="105"/>
      <c r="C101" s="33"/>
      <c r="D101" s="98"/>
      <c r="E101" s="98"/>
      <c r="F101" s="33"/>
      <c r="G101" s="33"/>
      <c r="H101" s="79"/>
      <c r="I101" s="79"/>
      <c r="J101" s="39"/>
      <c r="K101" s="38"/>
      <c r="L101" s="121"/>
      <c r="M101" s="38"/>
      <c r="N101" s="35"/>
      <c r="O101" s="36"/>
      <c r="P101" s="36"/>
      <c r="Q101" s="36"/>
      <c r="R101" s="36"/>
      <c r="S101" s="36"/>
      <c r="T101" s="36"/>
      <c r="U101" s="120">
        <f>SUBTOTAL(9,U98:U100)</f>
        <v>7</v>
      </c>
      <c r="V101" s="139"/>
      <c r="W101" s="129"/>
      <c r="X101" s="129"/>
      <c r="Y101" s="130"/>
      <c r="Z101" s="129"/>
      <c r="AA101" s="129"/>
      <c r="AB101" s="129"/>
      <c r="AC101" s="77"/>
      <c r="AD101" s="64"/>
      <c r="AE101" s="64"/>
      <c r="AF101" s="64"/>
      <c r="AG101" s="131">
        <f>SUBTOTAL(9,AG98:AG100)</f>
        <v>3371.612711826614</v>
      </c>
      <c r="AH101" s="131">
        <f>SUBTOTAL(9,AH98:AH100)</f>
        <v>1529.0760597853125</v>
      </c>
    </row>
    <row r="102" spans="1:34" ht="22.5" customHeight="1">
      <c r="A102" s="89">
        <v>74</v>
      </c>
      <c r="B102" s="104" t="s">
        <v>72</v>
      </c>
      <c r="C102" s="33" t="s">
        <v>43</v>
      </c>
      <c r="D102" s="98">
        <v>7</v>
      </c>
      <c r="E102" s="98"/>
      <c r="F102" s="33" t="s">
        <v>54</v>
      </c>
      <c r="G102" s="33" t="s">
        <v>116</v>
      </c>
      <c r="H102" s="79" t="s">
        <v>58</v>
      </c>
      <c r="I102" s="79" t="s">
        <v>47</v>
      </c>
      <c r="J102" s="39" t="s">
        <v>46</v>
      </c>
      <c r="K102" s="38">
        <v>98.25</v>
      </c>
      <c r="L102" s="80" t="s">
        <v>84</v>
      </c>
      <c r="M102" s="38">
        <v>43.625</v>
      </c>
      <c r="N102" s="35" t="s">
        <v>84</v>
      </c>
      <c r="O102" s="36">
        <v>1.25</v>
      </c>
      <c r="P102" s="36"/>
      <c r="Q102" s="36"/>
      <c r="R102" s="36">
        <v>1</v>
      </c>
      <c r="S102" s="36"/>
      <c r="T102" s="36"/>
      <c r="U102" s="71">
        <v>1</v>
      </c>
      <c r="V102" s="202">
        <v>12</v>
      </c>
      <c r="W102" s="50">
        <v>29.764973958333332</v>
      </c>
      <c r="X102" s="50">
        <v>29.764973958333332</v>
      </c>
      <c r="Y102" s="109">
        <v>29.75</v>
      </c>
      <c r="Z102" s="50">
        <v>29.75</v>
      </c>
      <c r="AA102" s="50">
        <v>2.7652565662500002</v>
      </c>
      <c r="AB102" s="50">
        <v>2.7652565662500002</v>
      </c>
      <c r="AC102" s="64">
        <v>4.01</v>
      </c>
      <c r="AD102" s="64"/>
      <c r="AE102" s="64"/>
      <c r="AF102" s="64"/>
      <c r="AG102" s="44">
        <v>484.74256292220946</v>
      </c>
      <c r="AH102" s="44">
        <v>219.83789701687502</v>
      </c>
    </row>
    <row r="103" spans="1:34" ht="22.5" customHeight="1">
      <c r="A103" s="89">
        <v>75</v>
      </c>
      <c r="B103" s="105" t="s">
        <v>72</v>
      </c>
      <c r="C103" s="33" t="s">
        <v>65</v>
      </c>
      <c r="D103" s="98">
        <v>10</v>
      </c>
      <c r="E103" s="98"/>
      <c r="F103" s="33" t="s">
        <v>54</v>
      </c>
      <c r="G103" s="33" t="s">
        <v>116</v>
      </c>
      <c r="H103" s="79" t="s">
        <v>58</v>
      </c>
      <c r="I103" s="79" t="s">
        <v>47</v>
      </c>
      <c r="J103" s="39" t="s">
        <v>46</v>
      </c>
      <c r="K103" s="34">
        <v>98.25</v>
      </c>
      <c r="L103" s="35" t="s">
        <v>84</v>
      </c>
      <c r="M103" s="35">
        <v>43.625</v>
      </c>
      <c r="N103" s="35" t="s">
        <v>84</v>
      </c>
      <c r="O103" s="36">
        <v>1.25</v>
      </c>
      <c r="P103" s="36"/>
      <c r="Q103" s="36"/>
      <c r="R103" s="36">
        <v>3</v>
      </c>
      <c r="S103" s="36"/>
      <c r="T103" s="36"/>
      <c r="U103" s="71">
        <v>3</v>
      </c>
      <c r="V103" s="203"/>
      <c r="W103" s="50">
        <v>29.764973958333332</v>
      </c>
      <c r="X103" s="50">
        <v>89.294921875</v>
      </c>
      <c r="Y103" s="109">
        <v>29.75</v>
      </c>
      <c r="Z103" s="50">
        <v>89.25</v>
      </c>
      <c r="AA103" s="50">
        <v>2.7652565662500002</v>
      </c>
      <c r="AB103" s="50">
        <v>8.29576969875</v>
      </c>
      <c r="AC103" s="64">
        <v>4.01</v>
      </c>
      <c r="AD103" s="64"/>
      <c r="AE103" s="64"/>
      <c r="AF103" s="64"/>
      <c r="AG103" s="44">
        <v>1454.227688766628</v>
      </c>
      <c r="AH103" s="44">
        <v>659.51369105062497</v>
      </c>
    </row>
    <row r="104" spans="1:34" ht="22.5" customHeight="1">
      <c r="A104" s="89">
        <v>76</v>
      </c>
      <c r="B104" s="105" t="s">
        <v>75</v>
      </c>
      <c r="C104" s="33" t="s">
        <v>65</v>
      </c>
      <c r="D104" s="98">
        <v>29</v>
      </c>
      <c r="E104" s="98"/>
      <c r="F104" s="33" t="s">
        <v>54</v>
      </c>
      <c r="G104" s="33" t="s">
        <v>116</v>
      </c>
      <c r="H104" s="79" t="s">
        <v>58</v>
      </c>
      <c r="I104" s="79" t="s">
        <v>47</v>
      </c>
      <c r="J104" s="39" t="s">
        <v>46</v>
      </c>
      <c r="K104" s="34">
        <v>78</v>
      </c>
      <c r="L104" s="38" t="s">
        <v>84</v>
      </c>
      <c r="M104" s="108">
        <v>29.75</v>
      </c>
      <c r="N104" s="35" t="s">
        <v>84</v>
      </c>
      <c r="O104" s="36">
        <v>1.25</v>
      </c>
      <c r="P104" s="36"/>
      <c r="Q104" s="36"/>
      <c r="R104" s="36">
        <v>2</v>
      </c>
      <c r="S104" s="36"/>
      <c r="T104" s="36"/>
      <c r="U104" s="71">
        <v>2</v>
      </c>
      <c r="V104" s="203"/>
      <c r="W104" s="50">
        <v>16.114583333333332</v>
      </c>
      <c r="X104" s="50">
        <v>32.229166666666664</v>
      </c>
      <c r="Y104" s="109">
        <v>11.74</v>
      </c>
      <c r="Z104" s="50">
        <v>23.48</v>
      </c>
      <c r="AA104" s="50">
        <v>1.4970937799999999</v>
      </c>
      <c r="AB104" s="50">
        <v>2.9941875599999999</v>
      </c>
      <c r="AC104" s="64">
        <v>4.01</v>
      </c>
      <c r="AD104" s="64"/>
      <c r="AE104" s="64"/>
      <c r="AF104" s="64"/>
      <c r="AG104" s="44">
        <v>524.87359379909992</v>
      </c>
      <c r="AH104" s="44">
        <v>238.03791101999997</v>
      </c>
    </row>
    <row r="105" spans="1:34" ht="22.5" customHeight="1">
      <c r="A105" s="89">
        <v>77</v>
      </c>
      <c r="B105" s="105" t="s">
        <v>75</v>
      </c>
      <c r="C105" s="33" t="s">
        <v>65</v>
      </c>
      <c r="D105" s="98">
        <v>29</v>
      </c>
      <c r="E105" s="98"/>
      <c r="F105" s="33" t="s">
        <v>54</v>
      </c>
      <c r="G105" s="33" t="s">
        <v>116</v>
      </c>
      <c r="H105" s="79" t="s">
        <v>58</v>
      </c>
      <c r="I105" s="79" t="s">
        <v>47</v>
      </c>
      <c r="J105" s="39" t="s">
        <v>46</v>
      </c>
      <c r="K105" s="34">
        <v>78</v>
      </c>
      <c r="L105" s="38" t="s">
        <v>84</v>
      </c>
      <c r="M105" s="108">
        <v>28.875</v>
      </c>
      <c r="N105" s="35" t="s">
        <v>84</v>
      </c>
      <c r="O105" s="36">
        <v>1.25</v>
      </c>
      <c r="P105" s="36"/>
      <c r="Q105" s="36"/>
      <c r="R105" s="36">
        <v>2</v>
      </c>
      <c r="S105" s="36"/>
      <c r="T105" s="36"/>
      <c r="U105" s="71">
        <v>2</v>
      </c>
      <c r="V105" s="204"/>
      <c r="W105" s="50">
        <v>15.640625</v>
      </c>
      <c r="X105" s="50">
        <v>31.28125</v>
      </c>
      <c r="Y105" s="81">
        <v>15.640625</v>
      </c>
      <c r="Z105" s="50">
        <v>31.28125</v>
      </c>
      <c r="AA105" s="50">
        <v>1.45306161</v>
      </c>
      <c r="AB105" s="50">
        <v>2.90612322</v>
      </c>
      <c r="AC105" s="64">
        <v>4.01</v>
      </c>
      <c r="AD105" s="64"/>
      <c r="AE105" s="64"/>
      <c r="AF105" s="64"/>
      <c r="AG105" s="44">
        <v>509.43613515795005</v>
      </c>
      <c r="AH105" s="44">
        <v>231.03679599</v>
      </c>
    </row>
    <row r="106" spans="1:34" ht="22.5" customHeight="1">
      <c r="A106" s="89"/>
      <c r="B106" s="105"/>
      <c r="C106" s="33"/>
      <c r="D106" s="98"/>
      <c r="E106" s="98"/>
      <c r="F106" s="33"/>
      <c r="G106" s="33"/>
      <c r="H106" s="79"/>
      <c r="I106" s="79"/>
      <c r="J106" s="39"/>
      <c r="K106" s="38"/>
      <c r="L106" s="121"/>
      <c r="M106" s="119"/>
      <c r="N106" s="35"/>
      <c r="O106" s="36"/>
      <c r="P106" s="36"/>
      <c r="Q106" s="36"/>
      <c r="R106" s="36"/>
      <c r="S106" s="36"/>
      <c r="T106" s="36"/>
      <c r="U106" s="120">
        <f>SUBTOTAL(9,U102:U105)</f>
        <v>8</v>
      </c>
      <c r="V106" s="139"/>
      <c r="W106" s="129"/>
      <c r="X106" s="129"/>
      <c r="Y106" s="132"/>
      <c r="Z106" s="129"/>
      <c r="AA106" s="129"/>
      <c r="AB106" s="129"/>
      <c r="AC106" s="77"/>
      <c r="AD106" s="64"/>
      <c r="AE106" s="64"/>
      <c r="AF106" s="64"/>
      <c r="AG106" s="131">
        <f>SUBTOTAL(9,AG102:AG105)</f>
        <v>2973.2799806458875</v>
      </c>
      <c r="AH106" s="131">
        <f>SUBTOTAL(9,AH102:AH105)</f>
        <v>1348.4262950774998</v>
      </c>
    </row>
    <row r="107" spans="1:34" ht="22.5" customHeight="1">
      <c r="A107" s="89">
        <v>78</v>
      </c>
      <c r="B107" s="104" t="s">
        <v>73</v>
      </c>
      <c r="C107" s="33" t="s">
        <v>43</v>
      </c>
      <c r="D107" s="98">
        <v>13</v>
      </c>
      <c r="E107" s="98"/>
      <c r="F107" s="33" t="s">
        <v>54</v>
      </c>
      <c r="G107" s="33" t="s">
        <v>116</v>
      </c>
      <c r="H107" s="79" t="s">
        <v>45</v>
      </c>
      <c r="I107" s="79" t="s">
        <v>47</v>
      </c>
      <c r="J107" s="39" t="s">
        <v>46</v>
      </c>
      <c r="K107" s="38">
        <v>109.375</v>
      </c>
      <c r="L107" s="80" t="s">
        <v>84</v>
      </c>
      <c r="M107" s="38">
        <v>43.625</v>
      </c>
      <c r="N107" s="35" t="s">
        <v>84</v>
      </c>
      <c r="O107" s="36">
        <v>1.25</v>
      </c>
      <c r="P107" s="36"/>
      <c r="Q107" s="36"/>
      <c r="R107" s="36">
        <v>1</v>
      </c>
      <c r="S107" s="36"/>
      <c r="T107" s="36"/>
      <c r="U107" s="71">
        <v>1</v>
      </c>
      <c r="V107" s="202">
        <v>13</v>
      </c>
      <c r="W107" s="50">
        <v>33.135308159722221</v>
      </c>
      <c r="X107" s="50">
        <v>33.135308159722221</v>
      </c>
      <c r="Y107" s="109">
        <v>26.48</v>
      </c>
      <c r="Z107" s="50">
        <v>26.48</v>
      </c>
      <c r="AA107" s="50">
        <v>3.0783708593750001</v>
      </c>
      <c r="AB107" s="50">
        <v>3.0783708593750001</v>
      </c>
      <c r="AC107" s="64">
        <v>4.01</v>
      </c>
      <c r="AD107" s="64"/>
      <c r="AE107" s="64"/>
      <c r="AF107" s="64"/>
      <c r="AG107" s="44">
        <v>539.63071572128899</v>
      </c>
      <c r="AH107" s="44">
        <v>244.73048332031246</v>
      </c>
    </row>
    <row r="108" spans="1:34" ht="22.5" customHeight="1">
      <c r="A108" s="89">
        <v>79</v>
      </c>
      <c r="B108" s="105" t="s">
        <v>73</v>
      </c>
      <c r="C108" s="33" t="s">
        <v>65</v>
      </c>
      <c r="D108" s="98">
        <v>16</v>
      </c>
      <c r="E108" s="98"/>
      <c r="F108" s="33" t="s">
        <v>54</v>
      </c>
      <c r="G108" s="33" t="s">
        <v>116</v>
      </c>
      <c r="H108" s="79" t="s">
        <v>45</v>
      </c>
      <c r="I108" s="79" t="s">
        <v>47</v>
      </c>
      <c r="J108" s="39" t="s">
        <v>46</v>
      </c>
      <c r="K108" s="34">
        <v>109.375</v>
      </c>
      <c r="L108" s="35" t="s">
        <v>84</v>
      </c>
      <c r="M108" s="35">
        <v>43.625</v>
      </c>
      <c r="N108" s="35" t="s">
        <v>84</v>
      </c>
      <c r="O108" s="36">
        <v>1.25</v>
      </c>
      <c r="P108" s="36"/>
      <c r="Q108" s="36"/>
      <c r="R108" s="36">
        <v>4</v>
      </c>
      <c r="S108" s="36"/>
      <c r="T108" s="36"/>
      <c r="U108" s="71">
        <v>4</v>
      </c>
      <c r="V108" s="203"/>
      <c r="W108" s="50">
        <v>33.135308159722221</v>
      </c>
      <c r="X108" s="50">
        <v>132.54123263888889</v>
      </c>
      <c r="Y108" s="109">
        <v>26.48</v>
      </c>
      <c r="Z108" s="50">
        <v>105.92</v>
      </c>
      <c r="AA108" s="50">
        <v>3.0783708593750001</v>
      </c>
      <c r="AB108" s="50">
        <v>12.3134834375</v>
      </c>
      <c r="AC108" s="64">
        <v>4.01</v>
      </c>
      <c r="AD108" s="64"/>
      <c r="AE108" s="64"/>
      <c r="AF108" s="64"/>
      <c r="AG108" s="44">
        <v>2158.522862885156</v>
      </c>
      <c r="AH108" s="44">
        <v>978.92193328124984</v>
      </c>
    </row>
    <row r="109" spans="1:34" ht="22.5" customHeight="1">
      <c r="A109" s="89">
        <v>80</v>
      </c>
      <c r="B109" s="105" t="s">
        <v>74</v>
      </c>
      <c r="C109" s="33" t="s">
        <v>65</v>
      </c>
      <c r="D109" s="98">
        <v>22</v>
      </c>
      <c r="E109" s="98"/>
      <c r="F109" s="33" t="s">
        <v>54</v>
      </c>
      <c r="G109" s="33" t="s">
        <v>116</v>
      </c>
      <c r="H109" s="79" t="s">
        <v>45</v>
      </c>
      <c r="I109" s="79" t="s">
        <v>47</v>
      </c>
      <c r="J109" s="39" t="s">
        <v>46</v>
      </c>
      <c r="K109" s="34">
        <v>90.125</v>
      </c>
      <c r="L109" s="38" t="s">
        <v>84</v>
      </c>
      <c r="M109" s="35">
        <v>43.625</v>
      </c>
      <c r="N109" s="35" t="s">
        <v>84</v>
      </c>
      <c r="O109" s="36">
        <v>1.25</v>
      </c>
      <c r="P109" s="36"/>
      <c r="Q109" s="36"/>
      <c r="R109" s="36">
        <v>1</v>
      </c>
      <c r="S109" s="36"/>
      <c r="T109" s="36"/>
      <c r="U109" s="71">
        <v>1</v>
      </c>
      <c r="V109" s="203"/>
      <c r="W109" s="50">
        <v>27.303493923611111</v>
      </c>
      <c r="X109" s="50">
        <v>27.303493923611111</v>
      </c>
      <c r="Y109" s="109">
        <v>27.28</v>
      </c>
      <c r="Z109" s="50">
        <v>27.28</v>
      </c>
      <c r="AA109" s="50">
        <v>2.5365775881250001</v>
      </c>
      <c r="AB109" s="50">
        <v>2.5365775881250001</v>
      </c>
      <c r="AC109" s="64">
        <v>4.01</v>
      </c>
      <c r="AD109" s="64"/>
      <c r="AE109" s="64"/>
      <c r="AF109" s="64"/>
      <c r="AG109" s="44">
        <v>444.65570975434218</v>
      </c>
      <c r="AH109" s="44">
        <v>201.65791825593749</v>
      </c>
    </row>
    <row r="110" spans="1:34" ht="22.5" customHeight="1">
      <c r="A110" s="89">
        <v>81</v>
      </c>
      <c r="B110" s="105" t="s">
        <v>76</v>
      </c>
      <c r="C110" s="33" t="s">
        <v>65</v>
      </c>
      <c r="D110" s="98">
        <v>44</v>
      </c>
      <c r="E110" s="98"/>
      <c r="F110" s="33" t="s">
        <v>54</v>
      </c>
      <c r="G110" s="33" t="s">
        <v>116</v>
      </c>
      <c r="H110" s="79" t="s">
        <v>58</v>
      </c>
      <c r="I110" s="79" t="s">
        <v>47</v>
      </c>
      <c r="J110" s="39" t="s">
        <v>46</v>
      </c>
      <c r="K110" s="34">
        <v>102.875</v>
      </c>
      <c r="L110" s="38" t="s">
        <v>84</v>
      </c>
      <c r="M110" s="35">
        <v>43.625</v>
      </c>
      <c r="N110" s="35" t="s">
        <v>84</v>
      </c>
      <c r="O110" s="36">
        <v>1.25</v>
      </c>
      <c r="P110" s="36"/>
      <c r="Q110" s="36"/>
      <c r="R110" s="36">
        <v>1</v>
      </c>
      <c r="S110" s="36"/>
      <c r="T110" s="36"/>
      <c r="U110" s="71">
        <v>1</v>
      </c>
      <c r="V110" s="204"/>
      <c r="W110" s="50">
        <v>31.166124131944443</v>
      </c>
      <c r="X110" s="50">
        <v>31.166124131944443</v>
      </c>
      <c r="Y110" s="109">
        <v>31.15</v>
      </c>
      <c r="Z110" s="50">
        <v>31.15</v>
      </c>
      <c r="AA110" s="50">
        <v>2.8954276768750002</v>
      </c>
      <c r="AB110" s="50">
        <v>2.8954276768750002</v>
      </c>
      <c r="AC110" s="64">
        <v>4.01</v>
      </c>
      <c r="AD110" s="64"/>
      <c r="AE110" s="64"/>
      <c r="AF110" s="64"/>
      <c r="AG110" s="44">
        <v>507.56123318699531</v>
      </c>
      <c r="AH110" s="44">
        <v>230.1865003115625</v>
      </c>
    </row>
    <row r="111" spans="1:34" ht="22.5" customHeight="1">
      <c r="A111" s="89"/>
      <c r="B111" s="105"/>
      <c r="C111" s="33"/>
      <c r="D111" s="98"/>
      <c r="E111" s="98"/>
      <c r="F111" s="33"/>
      <c r="G111" s="33"/>
      <c r="H111" s="79"/>
      <c r="I111" s="79"/>
      <c r="J111" s="39"/>
      <c r="K111" s="38"/>
      <c r="L111" s="121"/>
      <c r="M111" s="38"/>
      <c r="N111" s="35"/>
      <c r="O111" s="36"/>
      <c r="P111" s="36"/>
      <c r="Q111" s="36"/>
      <c r="R111" s="36"/>
      <c r="S111" s="36"/>
      <c r="T111" s="36"/>
      <c r="U111" s="120">
        <f>SUBTOTAL(9,U107:U110)</f>
        <v>7</v>
      </c>
      <c r="V111" s="139"/>
      <c r="W111" s="129"/>
      <c r="X111" s="129"/>
      <c r="Y111" s="130"/>
      <c r="Z111" s="129"/>
      <c r="AA111" s="129"/>
      <c r="AB111" s="129"/>
      <c r="AC111" s="77"/>
      <c r="AD111" s="64"/>
      <c r="AE111" s="64"/>
      <c r="AF111" s="64"/>
      <c r="AG111" s="131">
        <f>SUBTOTAL(9,AG107:AG110)</f>
        <v>3650.3705215477826</v>
      </c>
      <c r="AH111" s="131">
        <f>SUBTOTAL(9,AH107:AH110)</f>
        <v>1655.496835169062</v>
      </c>
    </row>
    <row r="112" spans="1:34" ht="22.5" customHeight="1">
      <c r="A112" s="89">
        <v>153</v>
      </c>
      <c r="B112" s="105" t="s">
        <v>70</v>
      </c>
      <c r="C112" s="33" t="s">
        <v>43</v>
      </c>
      <c r="D112" s="98">
        <v>2</v>
      </c>
      <c r="E112" s="98"/>
      <c r="F112" s="33" t="s">
        <v>54</v>
      </c>
      <c r="G112" s="33" t="s">
        <v>116</v>
      </c>
      <c r="H112" s="79" t="s">
        <v>61</v>
      </c>
      <c r="I112" s="79" t="s">
        <v>60</v>
      </c>
      <c r="J112" s="39" t="s">
        <v>46</v>
      </c>
      <c r="K112" s="34">
        <v>49.5</v>
      </c>
      <c r="L112" s="38" t="s">
        <v>84</v>
      </c>
      <c r="M112" s="35">
        <v>22.5</v>
      </c>
      <c r="N112" s="35" t="s">
        <v>84</v>
      </c>
      <c r="O112" s="36">
        <v>0.75</v>
      </c>
      <c r="P112" s="36">
        <v>2</v>
      </c>
      <c r="Q112" s="36"/>
      <c r="R112" s="36"/>
      <c r="S112" s="36"/>
      <c r="T112" s="36"/>
      <c r="U112" s="71">
        <v>2</v>
      </c>
      <c r="V112" s="202">
        <v>27</v>
      </c>
      <c r="W112" s="50">
        <v>7.734375</v>
      </c>
      <c r="X112" s="50">
        <v>15.46875</v>
      </c>
      <c r="Y112" s="81">
        <v>7.734375</v>
      </c>
      <c r="Z112" s="50">
        <v>15.46875</v>
      </c>
      <c r="AA112" s="50">
        <v>0.71854695000000002</v>
      </c>
      <c r="AB112" s="50">
        <v>1.4370939</v>
      </c>
      <c r="AC112" s="64">
        <v>3.13</v>
      </c>
      <c r="AD112" s="64"/>
      <c r="AE112" s="64">
        <v>1</v>
      </c>
      <c r="AF112" s="64"/>
      <c r="AG112" s="44">
        <v>167.9459786235</v>
      </c>
      <c r="AH112" s="44">
        <v>76.165976700000002</v>
      </c>
    </row>
    <row r="113" spans="1:34" ht="22.5" customHeight="1">
      <c r="A113" s="89">
        <v>154</v>
      </c>
      <c r="B113" s="105" t="s">
        <v>70</v>
      </c>
      <c r="C113" s="33" t="s">
        <v>43</v>
      </c>
      <c r="D113" s="98">
        <v>2</v>
      </c>
      <c r="E113" s="98"/>
      <c r="F113" s="33" t="s">
        <v>54</v>
      </c>
      <c r="G113" s="33" t="s">
        <v>116</v>
      </c>
      <c r="H113" s="79" t="s">
        <v>55</v>
      </c>
      <c r="I113" s="79" t="s">
        <v>60</v>
      </c>
      <c r="J113" s="39" t="s">
        <v>46</v>
      </c>
      <c r="K113" s="34">
        <v>49.5</v>
      </c>
      <c r="L113" s="38" t="s">
        <v>84</v>
      </c>
      <c r="M113" s="35">
        <v>3</v>
      </c>
      <c r="N113" s="35" t="s">
        <v>84</v>
      </c>
      <c r="O113" s="36">
        <v>0.75</v>
      </c>
      <c r="P113" s="36">
        <v>2</v>
      </c>
      <c r="Q113" s="36"/>
      <c r="R113" s="36"/>
      <c r="S113" s="36"/>
      <c r="T113" s="36"/>
      <c r="U113" s="71">
        <v>2</v>
      </c>
      <c r="V113" s="203"/>
      <c r="W113" s="50">
        <v>1.03125</v>
      </c>
      <c r="X113" s="50">
        <v>2.0625</v>
      </c>
      <c r="Y113" s="81">
        <v>1.03125</v>
      </c>
      <c r="Z113" s="50">
        <v>2.0625</v>
      </c>
      <c r="AA113" s="50">
        <v>9.5806260000000004E-2</v>
      </c>
      <c r="AB113" s="50">
        <v>0.19161252000000001</v>
      </c>
      <c r="AC113" s="64">
        <v>3.13</v>
      </c>
      <c r="AD113" s="64"/>
      <c r="AE113" s="64"/>
      <c r="AF113" s="64"/>
      <c r="AG113" s="44">
        <v>22.3927971498</v>
      </c>
      <c r="AH113" s="44">
        <v>10.155463559999999</v>
      </c>
    </row>
    <row r="114" spans="1:34" ht="22.5" customHeight="1">
      <c r="A114" s="89">
        <v>155</v>
      </c>
      <c r="B114" s="105" t="s">
        <v>70</v>
      </c>
      <c r="C114" s="33" t="s">
        <v>43</v>
      </c>
      <c r="D114" s="98">
        <v>2</v>
      </c>
      <c r="E114" s="98"/>
      <c r="F114" s="33" t="s">
        <v>54</v>
      </c>
      <c r="G114" s="33" t="s">
        <v>116</v>
      </c>
      <c r="H114" s="79" t="s">
        <v>56</v>
      </c>
      <c r="I114" s="79" t="s">
        <v>60</v>
      </c>
      <c r="J114" s="39" t="s">
        <v>46</v>
      </c>
      <c r="K114" s="34">
        <v>21.75</v>
      </c>
      <c r="L114" s="38" t="s">
        <v>84</v>
      </c>
      <c r="M114" s="35">
        <v>3</v>
      </c>
      <c r="N114" s="35" t="s">
        <v>84</v>
      </c>
      <c r="O114" s="36">
        <v>0.75</v>
      </c>
      <c r="P114" s="36">
        <v>2</v>
      </c>
      <c r="Q114" s="36"/>
      <c r="R114" s="36"/>
      <c r="S114" s="36"/>
      <c r="T114" s="36"/>
      <c r="U114" s="71">
        <v>2</v>
      </c>
      <c r="V114" s="203"/>
      <c r="W114" s="50">
        <v>0.453125</v>
      </c>
      <c r="X114" s="50">
        <v>0.90625</v>
      </c>
      <c r="Y114" s="81">
        <v>0.453125</v>
      </c>
      <c r="Z114" s="50">
        <v>0.90625</v>
      </c>
      <c r="AA114" s="50">
        <v>4.2096690000000006E-2</v>
      </c>
      <c r="AB114" s="50">
        <v>8.4193380000000012E-2</v>
      </c>
      <c r="AC114" s="64">
        <v>3.13</v>
      </c>
      <c r="AD114" s="64"/>
      <c r="AE114" s="64"/>
      <c r="AF114" s="64"/>
      <c r="AG114" s="44">
        <v>9.839259353700001</v>
      </c>
      <c r="AH114" s="44">
        <v>4.4622491399999999</v>
      </c>
    </row>
    <row r="115" spans="1:34" ht="22.5" customHeight="1">
      <c r="A115" s="89">
        <v>156</v>
      </c>
      <c r="B115" s="104" t="s">
        <v>70</v>
      </c>
      <c r="C115" s="33" t="s">
        <v>65</v>
      </c>
      <c r="D115" s="98">
        <v>4</v>
      </c>
      <c r="E115" s="98"/>
      <c r="F115" s="33" t="s">
        <v>54</v>
      </c>
      <c r="G115" s="33" t="s">
        <v>116</v>
      </c>
      <c r="H115" s="79" t="s">
        <v>61</v>
      </c>
      <c r="I115" s="79" t="s">
        <v>60</v>
      </c>
      <c r="J115" s="39" t="s">
        <v>46</v>
      </c>
      <c r="K115" s="38">
        <v>49.5</v>
      </c>
      <c r="L115" s="80" t="s">
        <v>84</v>
      </c>
      <c r="M115" s="38">
        <v>22.5</v>
      </c>
      <c r="N115" s="35" t="s">
        <v>84</v>
      </c>
      <c r="O115" s="36">
        <v>0.75</v>
      </c>
      <c r="P115" s="36">
        <v>3</v>
      </c>
      <c r="Q115" s="36"/>
      <c r="R115" s="36"/>
      <c r="S115" s="36"/>
      <c r="T115" s="36"/>
      <c r="U115" s="71">
        <v>3</v>
      </c>
      <c r="V115" s="203"/>
      <c r="W115" s="50">
        <v>7.734375</v>
      </c>
      <c r="X115" s="50">
        <v>23.203125</v>
      </c>
      <c r="Y115" s="81">
        <v>7.734375</v>
      </c>
      <c r="Z115" s="50">
        <v>23.203125</v>
      </c>
      <c r="AA115" s="50">
        <v>0.71854695000000002</v>
      </c>
      <c r="AB115" s="50">
        <v>2.1556408500000002</v>
      </c>
      <c r="AC115" s="64">
        <v>3.13</v>
      </c>
      <c r="AD115" s="64"/>
      <c r="AE115" s="64">
        <v>1</v>
      </c>
      <c r="AF115" s="64"/>
      <c r="AG115" s="44">
        <v>251.91896793525004</v>
      </c>
      <c r="AH115" s="44">
        <v>114.24896505000001</v>
      </c>
    </row>
    <row r="116" spans="1:34" ht="22.5" customHeight="1">
      <c r="A116" s="89">
        <v>157</v>
      </c>
      <c r="B116" s="105" t="s">
        <v>70</v>
      </c>
      <c r="C116" s="33" t="s">
        <v>65</v>
      </c>
      <c r="D116" s="98">
        <v>4</v>
      </c>
      <c r="E116" s="98"/>
      <c r="F116" s="33" t="s">
        <v>54</v>
      </c>
      <c r="G116" s="33" t="s">
        <v>116</v>
      </c>
      <c r="H116" s="79" t="s">
        <v>55</v>
      </c>
      <c r="I116" s="79" t="s">
        <v>60</v>
      </c>
      <c r="J116" s="39" t="s">
        <v>46</v>
      </c>
      <c r="K116" s="34">
        <v>49.5</v>
      </c>
      <c r="L116" s="35" t="s">
        <v>84</v>
      </c>
      <c r="M116" s="35">
        <v>3</v>
      </c>
      <c r="N116" s="35" t="s">
        <v>84</v>
      </c>
      <c r="O116" s="36">
        <v>0.75</v>
      </c>
      <c r="P116" s="36">
        <v>3</v>
      </c>
      <c r="Q116" s="36"/>
      <c r="R116" s="36"/>
      <c r="S116" s="36"/>
      <c r="T116" s="36"/>
      <c r="U116" s="71">
        <v>3</v>
      </c>
      <c r="V116" s="203"/>
      <c r="W116" s="50">
        <v>1.03125</v>
      </c>
      <c r="X116" s="50">
        <v>3.09375</v>
      </c>
      <c r="Y116" s="81">
        <v>1.03125</v>
      </c>
      <c r="Z116" s="50">
        <v>3.09375</v>
      </c>
      <c r="AA116" s="50">
        <v>9.5806260000000004E-2</v>
      </c>
      <c r="AB116" s="50">
        <v>0.28741877999999998</v>
      </c>
      <c r="AC116" s="64">
        <v>3.13</v>
      </c>
      <c r="AD116" s="64"/>
      <c r="AE116" s="64"/>
      <c r="AF116" s="64"/>
      <c r="AG116" s="44">
        <v>33.589195724699998</v>
      </c>
      <c r="AH116" s="44">
        <v>15.233195339999998</v>
      </c>
    </row>
    <row r="117" spans="1:34" ht="22.5" customHeight="1">
      <c r="A117" s="89">
        <v>158</v>
      </c>
      <c r="B117" s="105" t="s">
        <v>70</v>
      </c>
      <c r="C117" s="33" t="s">
        <v>65</v>
      </c>
      <c r="D117" s="98">
        <v>4</v>
      </c>
      <c r="E117" s="98"/>
      <c r="F117" s="33" t="s">
        <v>54</v>
      </c>
      <c r="G117" s="33" t="s">
        <v>116</v>
      </c>
      <c r="H117" s="79" t="s">
        <v>56</v>
      </c>
      <c r="I117" s="79" t="s">
        <v>60</v>
      </c>
      <c r="J117" s="39" t="s">
        <v>46</v>
      </c>
      <c r="K117" s="34">
        <v>21.75</v>
      </c>
      <c r="L117" s="38" t="s">
        <v>84</v>
      </c>
      <c r="M117" s="35">
        <v>3</v>
      </c>
      <c r="N117" s="35" t="s">
        <v>84</v>
      </c>
      <c r="O117" s="36">
        <v>0.75</v>
      </c>
      <c r="P117" s="36">
        <v>3</v>
      </c>
      <c r="Q117" s="36"/>
      <c r="R117" s="36"/>
      <c r="S117" s="36"/>
      <c r="T117" s="36"/>
      <c r="U117" s="71">
        <v>3</v>
      </c>
      <c r="V117" s="203"/>
      <c r="W117" s="50">
        <v>0.453125</v>
      </c>
      <c r="X117" s="50">
        <v>1.359375</v>
      </c>
      <c r="Y117" s="81">
        <v>0.453125</v>
      </c>
      <c r="Z117" s="50">
        <v>1.359375</v>
      </c>
      <c r="AA117" s="50">
        <v>4.2096690000000006E-2</v>
      </c>
      <c r="AB117" s="50">
        <v>0.12629007000000003</v>
      </c>
      <c r="AC117" s="64">
        <v>3.13</v>
      </c>
      <c r="AD117" s="64"/>
      <c r="AE117" s="64"/>
      <c r="AF117" s="64"/>
      <c r="AG117" s="44">
        <v>14.758889030550003</v>
      </c>
      <c r="AH117" s="44">
        <v>6.6933737100000013</v>
      </c>
    </row>
    <row r="118" spans="1:34" ht="22.5" customHeight="1">
      <c r="A118" s="89">
        <v>159</v>
      </c>
      <c r="B118" s="105" t="s">
        <v>72</v>
      </c>
      <c r="C118" s="33" t="s">
        <v>43</v>
      </c>
      <c r="D118" s="98">
        <v>8</v>
      </c>
      <c r="E118" s="98"/>
      <c r="F118" s="33" t="s">
        <v>54</v>
      </c>
      <c r="G118" s="33" t="s">
        <v>116</v>
      </c>
      <c r="H118" s="79" t="s">
        <v>61</v>
      </c>
      <c r="I118" s="79" t="s">
        <v>60</v>
      </c>
      <c r="J118" s="39" t="s">
        <v>46</v>
      </c>
      <c r="K118" s="34">
        <v>49.5</v>
      </c>
      <c r="L118" s="38" t="s">
        <v>84</v>
      </c>
      <c r="M118" s="35">
        <v>22.5</v>
      </c>
      <c r="N118" s="35" t="s">
        <v>84</v>
      </c>
      <c r="O118" s="36">
        <v>0.75</v>
      </c>
      <c r="P118" s="36">
        <v>3</v>
      </c>
      <c r="Q118" s="36"/>
      <c r="R118" s="36"/>
      <c r="S118" s="36"/>
      <c r="T118" s="36"/>
      <c r="U118" s="71">
        <v>3</v>
      </c>
      <c r="V118" s="203"/>
      <c r="W118" s="50">
        <v>7.734375</v>
      </c>
      <c r="X118" s="50">
        <v>23.203125</v>
      </c>
      <c r="Y118" s="81">
        <v>7.734375</v>
      </c>
      <c r="Z118" s="50">
        <v>23.203125</v>
      </c>
      <c r="AA118" s="50">
        <v>0.71854695000000002</v>
      </c>
      <c r="AB118" s="50">
        <v>2.1556408500000002</v>
      </c>
      <c r="AC118" s="64">
        <v>3.13</v>
      </c>
      <c r="AD118" s="64"/>
      <c r="AE118" s="64">
        <v>1</v>
      </c>
      <c r="AF118" s="64"/>
      <c r="AG118" s="44">
        <v>251.91896793525004</v>
      </c>
      <c r="AH118" s="44">
        <v>114.24896505000001</v>
      </c>
    </row>
    <row r="119" spans="1:34" ht="22.5" customHeight="1">
      <c r="A119" s="89">
        <v>160</v>
      </c>
      <c r="B119" s="105" t="s">
        <v>72</v>
      </c>
      <c r="C119" s="33" t="s">
        <v>43</v>
      </c>
      <c r="D119" s="98">
        <v>8</v>
      </c>
      <c r="E119" s="98"/>
      <c r="F119" s="33" t="s">
        <v>54</v>
      </c>
      <c r="G119" s="33" t="s">
        <v>116</v>
      </c>
      <c r="H119" s="79" t="s">
        <v>55</v>
      </c>
      <c r="I119" s="79" t="s">
        <v>60</v>
      </c>
      <c r="J119" s="39" t="s">
        <v>46</v>
      </c>
      <c r="K119" s="34">
        <v>49.5</v>
      </c>
      <c r="L119" s="38" t="s">
        <v>84</v>
      </c>
      <c r="M119" s="35">
        <v>3</v>
      </c>
      <c r="N119" s="35" t="s">
        <v>84</v>
      </c>
      <c r="O119" s="36">
        <v>0.75</v>
      </c>
      <c r="P119" s="36">
        <v>3</v>
      </c>
      <c r="Q119" s="36"/>
      <c r="R119" s="36"/>
      <c r="S119" s="36"/>
      <c r="T119" s="36"/>
      <c r="U119" s="71">
        <v>3</v>
      </c>
      <c r="V119" s="203"/>
      <c r="W119" s="50">
        <v>1.03125</v>
      </c>
      <c r="X119" s="50">
        <v>3.09375</v>
      </c>
      <c r="Y119" s="81">
        <v>1.03125</v>
      </c>
      <c r="Z119" s="50">
        <v>3.09375</v>
      </c>
      <c r="AA119" s="50">
        <v>9.5806260000000004E-2</v>
      </c>
      <c r="AB119" s="50">
        <v>0.28741877999999998</v>
      </c>
      <c r="AC119" s="64">
        <v>3.13</v>
      </c>
      <c r="AD119" s="64"/>
      <c r="AE119" s="64"/>
      <c r="AF119" s="64"/>
      <c r="AG119" s="44">
        <v>33.589195724699998</v>
      </c>
      <c r="AH119" s="44">
        <v>15.233195339999998</v>
      </c>
    </row>
    <row r="120" spans="1:34" ht="22.5" customHeight="1">
      <c r="A120" s="89">
        <v>161</v>
      </c>
      <c r="B120" s="105" t="s">
        <v>72</v>
      </c>
      <c r="C120" s="33" t="s">
        <v>43</v>
      </c>
      <c r="D120" s="98">
        <v>8</v>
      </c>
      <c r="E120" s="98"/>
      <c r="F120" s="33" t="s">
        <v>54</v>
      </c>
      <c r="G120" s="33" t="s">
        <v>116</v>
      </c>
      <c r="H120" s="79" t="s">
        <v>56</v>
      </c>
      <c r="I120" s="79" t="s">
        <v>60</v>
      </c>
      <c r="J120" s="39" t="s">
        <v>46</v>
      </c>
      <c r="K120" s="34">
        <v>21.75</v>
      </c>
      <c r="L120" s="38" t="s">
        <v>84</v>
      </c>
      <c r="M120" s="35">
        <v>3</v>
      </c>
      <c r="N120" s="35" t="s">
        <v>84</v>
      </c>
      <c r="O120" s="36">
        <v>0.75</v>
      </c>
      <c r="P120" s="36">
        <v>3</v>
      </c>
      <c r="Q120" s="36"/>
      <c r="R120" s="36"/>
      <c r="S120" s="36"/>
      <c r="T120" s="36"/>
      <c r="U120" s="71">
        <v>3</v>
      </c>
      <c r="V120" s="203"/>
      <c r="W120" s="50">
        <v>0.453125</v>
      </c>
      <c r="X120" s="50">
        <v>1.359375</v>
      </c>
      <c r="Y120" s="81">
        <v>0.453125</v>
      </c>
      <c r="Z120" s="50">
        <v>1.359375</v>
      </c>
      <c r="AA120" s="50">
        <v>4.2096690000000006E-2</v>
      </c>
      <c r="AB120" s="50">
        <v>0.12629007000000003</v>
      </c>
      <c r="AC120" s="64">
        <v>3.13</v>
      </c>
      <c r="AD120" s="64"/>
      <c r="AE120" s="64"/>
      <c r="AF120" s="64"/>
      <c r="AG120" s="44">
        <v>14.758889030550003</v>
      </c>
      <c r="AH120" s="44">
        <v>6.6933737100000013</v>
      </c>
    </row>
    <row r="121" spans="1:34" ht="22.5" customHeight="1">
      <c r="A121" s="89">
        <v>162</v>
      </c>
      <c r="B121" s="104" t="s">
        <v>72</v>
      </c>
      <c r="C121" s="33" t="s">
        <v>43</v>
      </c>
      <c r="D121" s="98">
        <v>9</v>
      </c>
      <c r="E121" s="98"/>
      <c r="F121" s="33" t="s">
        <v>54</v>
      </c>
      <c r="G121" s="33" t="s">
        <v>116</v>
      </c>
      <c r="H121" s="79" t="s">
        <v>77</v>
      </c>
      <c r="I121" s="79" t="s">
        <v>77</v>
      </c>
      <c r="J121" s="39" t="s">
        <v>46</v>
      </c>
      <c r="K121" s="38">
        <v>43.75</v>
      </c>
      <c r="L121" s="80" t="s">
        <v>84</v>
      </c>
      <c r="M121" s="38">
        <v>25.5</v>
      </c>
      <c r="N121" s="35" t="s">
        <v>84</v>
      </c>
      <c r="O121" s="36">
        <v>0.75</v>
      </c>
      <c r="P121" s="36">
        <v>3</v>
      </c>
      <c r="Q121" s="36"/>
      <c r="R121" s="36"/>
      <c r="S121" s="36"/>
      <c r="T121" s="36"/>
      <c r="U121" s="71">
        <v>3</v>
      </c>
      <c r="V121" s="203"/>
      <c r="W121" s="50">
        <v>7.747395833333333</v>
      </c>
      <c r="X121" s="50">
        <v>23.2421875</v>
      </c>
      <c r="Y121" s="81">
        <v>7.747395833333333</v>
      </c>
      <c r="Z121" s="50">
        <v>23.2421875</v>
      </c>
      <c r="AA121" s="50">
        <v>0.71975662500000004</v>
      </c>
      <c r="AB121" s="50">
        <v>2.1592698750000001</v>
      </c>
      <c r="AC121" s="64">
        <v>3.13</v>
      </c>
      <c r="AD121" s="64"/>
      <c r="AE121" s="64"/>
      <c r="AF121" s="64"/>
      <c r="AG121" s="44">
        <v>252.34307394187505</v>
      </c>
      <c r="AH121" s="44">
        <v>114.44130337500002</v>
      </c>
    </row>
    <row r="122" spans="1:34" ht="22.5" customHeight="1">
      <c r="A122" s="89">
        <v>163</v>
      </c>
      <c r="B122" s="105" t="s">
        <v>72</v>
      </c>
      <c r="C122" s="33" t="s">
        <v>65</v>
      </c>
      <c r="D122" s="98">
        <v>11</v>
      </c>
      <c r="E122" s="98"/>
      <c r="F122" s="33" t="s">
        <v>54</v>
      </c>
      <c r="G122" s="33" t="s">
        <v>116</v>
      </c>
      <c r="H122" s="79" t="s">
        <v>61</v>
      </c>
      <c r="I122" s="79" t="s">
        <v>60</v>
      </c>
      <c r="J122" s="39" t="s">
        <v>46</v>
      </c>
      <c r="K122" s="34">
        <v>49.5</v>
      </c>
      <c r="L122" s="35" t="s">
        <v>84</v>
      </c>
      <c r="M122" s="35">
        <v>22.5</v>
      </c>
      <c r="N122" s="35" t="s">
        <v>84</v>
      </c>
      <c r="O122" s="36">
        <v>0.75</v>
      </c>
      <c r="P122" s="36">
        <v>3</v>
      </c>
      <c r="Q122" s="36"/>
      <c r="R122" s="36"/>
      <c r="S122" s="36"/>
      <c r="T122" s="36"/>
      <c r="U122" s="71">
        <v>3</v>
      </c>
      <c r="V122" s="203"/>
      <c r="W122" s="50">
        <v>7.734375</v>
      </c>
      <c r="X122" s="50">
        <v>23.203125</v>
      </c>
      <c r="Y122" s="81">
        <v>7.734375</v>
      </c>
      <c r="Z122" s="50">
        <v>23.203125</v>
      </c>
      <c r="AA122" s="50">
        <v>0.71854695000000002</v>
      </c>
      <c r="AB122" s="50">
        <v>2.1556408500000002</v>
      </c>
      <c r="AC122" s="64">
        <v>3.13</v>
      </c>
      <c r="AD122" s="64"/>
      <c r="AE122" s="64">
        <v>1</v>
      </c>
      <c r="AF122" s="64"/>
      <c r="AG122" s="44">
        <v>251.91896793525004</v>
      </c>
      <c r="AH122" s="44">
        <v>114.24896505000001</v>
      </c>
    </row>
    <row r="123" spans="1:34" ht="22.5" customHeight="1">
      <c r="A123" s="89">
        <v>164</v>
      </c>
      <c r="B123" s="105" t="s">
        <v>72</v>
      </c>
      <c r="C123" s="33" t="s">
        <v>65</v>
      </c>
      <c r="D123" s="98">
        <v>11</v>
      </c>
      <c r="E123" s="98"/>
      <c r="F123" s="33" t="s">
        <v>54</v>
      </c>
      <c r="G123" s="33" t="s">
        <v>116</v>
      </c>
      <c r="H123" s="79" t="s">
        <v>55</v>
      </c>
      <c r="I123" s="79" t="s">
        <v>60</v>
      </c>
      <c r="J123" s="39" t="s">
        <v>46</v>
      </c>
      <c r="K123" s="34">
        <v>49.5</v>
      </c>
      <c r="L123" s="38" t="s">
        <v>84</v>
      </c>
      <c r="M123" s="35">
        <v>3</v>
      </c>
      <c r="N123" s="35" t="s">
        <v>84</v>
      </c>
      <c r="O123" s="36">
        <v>0.75</v>
      </c>
      <c r="P123" s="36">
        <v>3</v>
      </c>
      <c r="Q123" s="36"/>
      <c r="R123" s="36"/>
      <c r="S123" s="36"/>
      <c r="T123" s="36"/>
      <c r="U123" s="71">
        <v>3</v>
      </c>
      <c r="V123" s="203"/>
      <c r="W123" s="50">
        <v>1.03125</v>
      </c>
      <c r="X123" s="50">
        <v>3.09375</v>
      </c>
      <c r="Y123" s="81">
        <v>1.03125</v>
      </c>
      <c r="Z123" s="50">
        <v>3.09375</v>
      </c>
      <c r="AA123" s="50">
        <v>9.5806260000000004E-2</v>
      </c>
      <c r="AB123" s="50">
        <v>0.28741877999999998</v>
      </c>
      <c r="AC123" s="64">
        <v>3.13</v>
      </c>
      <c r="AD123" s="64"/>
      <c r="AE123" s="64"/>
      <c r="AF123" s="64"/>
      <c r="AG123" s="44">
        <v>33.589195724699998</v>
      </c>
      <c r="AH123" s="44">
        <v>15.233195339999998</v>
      </c>
    </row>
    <row r="124" spans="1:34" ht="22.5" customHeight="1">
      <c r="A124" s="89">
        <v>165</v>
      </c>
      <c r="B124" s="105" t="s">
        <v>72</v>
      </c>
      <c r="C124" s="33" t="s">
        <v>65</v>
      </c>
      <c r="D124" s="98">
        <v>11</v>
      </c>
      <c r="E124" s="98"/>
      <c r="F124" s="33" t="s">
        <v>54</v>
      </c>
      <c r="G124" s="33" t="s">
        <v>116</v>
      </c>
      <c r="H124" s="79" t="s">
        <v>56</v>
      </c>
      <c r="I124" s="79" t="s">
        <v>60</v>
      </c>
      <c r="J124" s="39" t="s">
        <v>46</v>
      </c>
      <c r="K124" s="34">
        <v>21.75</v>
      </c>
      <c r="L124" s="38" t="s">
        <v>84</v>
      </c>
      <c r="M124" s="35">
        <v>3</v>
      </c>
      <c r="N124" s="35" t="s">
        <v>84</v>
      </c>
      <c r="O124" s="36">
        <v>0.75</v>
      </c>
      <c r="P124" s="36">
        <v>3</v>
      </c>
      <c r="Q124" s="36"/>
      <c r="R124" s="36"/>
      <c r="S124" s="36"/>
      <c r="T124" s="36"/>
      <c r="U124" s="71">
        <v>3</v>
      </c>
      <c r="V124" s="203"/>
      <c r="W124" s="50">
        <v>0.453125</v>
      </c>
      <c r="X124" s="50">
        <v>1.359375</v>
      </c>
      <c r="Y124" s="81">
        <v>0.453125</v>
      </c>
      <c r="Z124" s="50">
        <v>1.359375</v>
      </c>
      <c r="AA124" s="50">
        <v>4.2096690000000006E-2</v>
      </c>
      <c r="AB124" s="50">
        <v>0.12629007000000003</v>
      </c>
      <c r="AC124" s="64">
        <v>3.13</v>
      </c>
      <c r="AD124" s="64"/>
      <c r="AE124" s="64"/>
      <c r="AF124" s="64"/>
      <c r="AG124" s="44">
        <v>14.758889030550003</v>
      </c>
      <c r="AH124" s="44">
        <v>6.6933737100000013</v>
      </c>
    </row>
    <row r="125" spans="1:34" ht="22.5" customHeight="1">
      <c r="A125" s="89">
        <v>166</v>
      </c>
      <c r="B125" s="105" t="s">
        <v>72</v>
      </c>
      <c r="C125" s="33" t="s">
        <v>65</v>
      </c>
      <c r="D125" s="98">
        <v>12</v>
      </c>
      <c r="E125" s="98"/>
      <c r="F125" s="33" t="s">
        <v>54</v>
      </c>
      <c r="G125" s="33" t="s">
        <v>116</v>
      </c>
      <c r="H125" s="79" t="s">
        <v>77</v>
      </c>
      <c r="I125" s="79" t="s">
        <v>77</v>
      </c>
      <c r="J125" s="39" t="s">
        <v>46</v>
      </c>
      <c r="K125" s="34">
        <v>43.75</v>
      </c>
      <c r="L125" s="38" t="s">
        <v>84</v>
      </c>
      <c r="M125" s="35">
        <v>25.5</v>
      </c>
      <c r="N125" s="35" t="s">
        <v>84</v>
      </c>
      <c r="O125" s="36">
        <v>0.75</v>
      </c>
      <c r="P125" s="36">
        <v>3</v>
      </c>
      <c r="Q125" s="36"/>
      <c r="R125" s="36"/>
      <c r="S125" s="36"/>
      <c r="T125" s="36"/>
      <c r="U125" s="71">
        <v>3</v>
      </c>
      <c r="V125" s="204"/>
      <c r="W125" s="50">
        <v>7.747395833333333</v>
      </c>
      <c r="X125" s="50">
        <v>23.2421875</v>
      </c>
      <c r="Y125" s="81">
        <v>7.747395833333333</v>
      </c>
      <c r="Z125" s="50">
        <v>23.2421875</v>
      </c>
      <c r="AA125" s="50">
        <v>0.71975662500000004</v>
      </c>
      <c r="AB125" s="50">
        <v>2.1592698750000001</v>
      </c>
      <c r="AC125" s="64">
        <v>3.13</v>
      </c>
      <c r="AD125" s="64"/>
      <c r="AE125" s="64"/>
      <c r="AF125" s="64"/>
      <c r="AG125" s="44">
        <v>252.34307394187505</v>
      </c>
      <c r="AH125" s="44">
        <v>114.44130337500002</v>
      </c>
    </row>
    <row r="126" spans="1:34" ht="22.5" customHeight="1">
      <c r="A126" s="89"/>
      <c r="B126" s="105"/>
      <c r="C126" s="33"/>
      <c r="D126" s="98"/>
      <c r="E126" s="98"/>
      <c r="F126" s="33"/>
      <c r="G126" s="33"/>
      <c r="H126" s="79"/>
      <c r="I126" s="79"/>
      <c r="J126" s="39"/>
      <c r="K126" s="34"/>
      <c r="L126" s="38"/>
      <c r="M126" s="35"/>
      <c r="N126" s="35"/>
      <c r="O126" s="36"/>
      <c r="P126" s="36"/>
      <c r="Q126" s="36"/>
      <c r="R126" s="36"/>
      <c r="S126" s="36"/>
      <c r="T126" s="36"/>
      <c r="U126" s="120">
        <f>SUBTOTAL(9,U112:U125)</f>
        <v>39</v>
      </c>
      <c r="V126" s="139"/>
      <c r="W126" s="129"/>
      <c r="X126" s="129"/>
      <c r="Y126" s="132"/>
      <c r="Z126" s="129"/>
      <c r="AA126" s="129"/>
      <c r="AB126" s="129"/>
      <c r="AC126" s="77"/>
      <c r="AD126" s="64"/>
      <c r="AE126" s="64"/>
      <c r="AF126" s="64"/>
      <c r="AG126" s="131">
        <f>SUBTOTAL(9,AG112:AG125)</f>
        <v>1605.6653410822501</v>
      </c>
      <c r="AH126" s="131">
        <f>SUBTOTAL(9,AH112:AH125)</f>
        <v>728.19289845000003</v>
      </c>
    </row>
    <row r="127" spans="1:34" ht="22.5" customHeight="1">
      <c r="A127" s="89">
        <v>167</v>
      </c>
      <c r="B127" s="105" t="s">
        <v>73</v>
      </c>
      <c r="C127" s="33" t="s">
        <v>43</v>
      </c>
      <c r="D127" s="98">
        <v>14</v>
      </c>
      <c r="E127" s="98"/>
      <c r="F127" s="33" t="s">
        <v>54</v>
      </c>
      <c r="G127" s="33" t="s">
        <v>116</v>
      </c>
      <c r="H127" s="103" t="s">
        <v>61</v>
      </c>
      <c r="I127" s="79" t="s">
        <v>60</v>
      </c>
      <c r="J127" s="39" t="s">
        <v>46</v>
      </c>
      <c r="K127" s="34">
        <v>79.5</v>
      </c>
      <c r="L127" s="38" t="s">
        <v>84</v>
      </c>
      <c r="M127" s="35">
        <v>22.5</v>
      </c>
      <c r="N127" s="35" t="s">
        <v>84</v>
      </c>
      <c r="O127" s="36">
        <v>0.75</v>
      </c>
      <c r="P127" s="36">
        <v>1</v>
      </c>
      <c r="Q127" s="36"/>
      <c r="R127" s="36"/>
      <c r="S127" s="36"/>
      <c r="T127" s="36"/>
      <c r="U127" s="71">
        <v>1</v>
      </c>
      <c r="V127" s="202">
        <v>28</v>
      </c>
      <c r="W127" s="50">
        <v>12.421875</v>
      </c>
      <c r="X127" s="50">
        <v>12.421875</v>
      </c>
      <c r="Y127" s="81">
        <v>12.421875</v>
      </c>
      <c r="Z127" s="50">
        <v>12.421875</v>
      </c>
      <c r="AA127" s="50">
        <v>1.15402995</v>
      </c>
      <c r="AB127" s="50">
        <v>1.15402995</v>
      </c>
      <c r="AC127" s="64">
        <v>3.13</v>
      </c>
      <c r="AD127" s="64">
        <v>3</v>
      </c>
      <c r="AE127" s="64">
        <v>2</v>
      </c>
      <c r="AF127" s="64">
        <v>10</v>
      </c>
      <c r="AG127" s="44">
        <v>134.86571010675002</v>
      </c>
      <c r="AH127" s="44">
        <v>61.16358735</v>
      </c>
    </row>
    <row r="128" spans="1:34" ht="22.5" customHeight="1">
      <c r="A128" s="89">
        <v>168</v>
      </c>
      <c r="B128" s="104" t="s">
        <v>73</v>
      </c>
      <c r="C128" s="33" t="s">
        <v>43</v>
      </c>
      <c r="D128" s="98">
        <v>14</v>
      </c>
      <c r="E128" s="98"/>
      <c r="F128" s="33" t="s">
        <v>54</v>
      </c>
      <c r="G128" s="33" t="s">
        <v>116</v>
      </c>
      <c r="H128" s="79" t="s">
        <v>55</v>
      </c>
      <c r="I128" s="79" t="s">
        <v>60</v>
      </c>
      <c r="J128" s="39" t="s">
        <v>46</v>
      </c>
      <c r="K128" s="38">
        <v>79.5</v>
      </c>
      <c r="L128" s="80" t="s">
        <v>84</v>
      </c>
      <c r="M128" s="38">
        <v>3</v>
      </c>
      <c r="N128" s="35" t="s">
        <v>84</v>
      </c>
      <c r="O128" s="36">
        <v>0.75</v>
      </c>
      <c r="P128" s="36">
        <v>1</v>
      </c>
      <c r="Q128" s="36"/>
      <c r="R128" s="36"/>
      <c r="S128" s="36"/>
      <c r="T128" s="36"/>
      <c r="U128" s="71">
        <v>1</v>
      </c>
      <c r="V128" s="203"/>
      <c r="W128" s="50">
        <v>1.65625</v>
      </c>
      <c r="X128" s="50">
        <v>1.65625</v>
      </c>
      <c r="Y128" s="81">
        <v>1.65625</v>
      </c>
      <c r="Z128" s="50">
        <v>1.65625</v>
      </c>
      <c r="AA128" s="50">
        <v>0.15387066000000002</v>
      </c>
      <c r="AB128" s="50">
        <v>0.15387066000000002</v>
      </c>
      <c r="AC128" s="64">
        <v>3.13</v>
      </c>
      <c r="AD128" s="64"/>
      <c r="AE128" s="64"/>
      <c r="AF128" s="64"/>
      <c r="AG128" s="44">
        <v>17.982094680900001</v>
      </c>
      <c r="AH128" s="44">
        <v>8.1551449800000011</v>
      </c>
    </row>
    <row r="129" spans="1:34" ht="22.5" customHeight="1">
      <c r="A129" s="89">
        <v>169</v>
      </c>
      <c r="B129" s="105" t="s">
        <v>73</v>
      </c>
      <c r="C129" s="33" t="s">
        <v>43</v>
      </c>
      <c r="D129" s="98">
        <v>14</v>
      </c>
      <c r="E129" s="98"/>
      <c r="F129" s="33" t="s">
        <v>54</v>
      </c>
      <c r="G129" s="33" t="s">
        <v>116</v>
      </c>
      <c r="H129" s="79" t="s">
        <v>56</v>
      </c>
      <c r="I129" s="79" t="s">
        <v>60</v>
      </c>
      <c r="J129" s="39" t="s">
        <v>46</v>
      </c>
      <c r="K129" s="34">
        <v>21.75</v>
      </c>
      <c r="L129" s="35" t="s">
        <v>84</v>
      </c>
      <c r="M129" s="35">
        <v>3</v>
      </c>
      <c r="N129" s="35" t="s">
        <v>84</v>
      </c>
      <c r="O129" s="36">
        <v>0.75</v>
      </c>
      <c r="P129" s="36">
        <v>1</v>
      </c>
      <c r="Q129" s="36"/>
      <c r="R129" s="36"/>
      <c r="S129" s="36"/>
      <c r="T129" s="36"/>
      <c r="U129" s="71">
        <v>1</v>
      </c>
      <c r="V129" s="203"/>
      <c r="W129" s="50">
        <v>0.453125</v>
      </c>
      <c r="X129" s="50">
        <v>0.453125</v>
      </c>
      <c r="Y129" s="81">
        <v>0.453125</v>
      </c>
      <c r="Z129" s="50">
        <v>0.453125</v>
      </c>
      <c r="AA129" s="50">
        <v>4.2096690000000006E-2</v>
      </c>
      <c r="AB129" s="50">
        <v>4.2096690000000006E-2</v>
      </c>
      <c r="AC129" s="64">
        <v>3.13</v>
      </c>
      <c r="AD129" s="64"/>
      <c r="AE129" s="64"/>
      <c r="AF129" s="64"/>
      <c r="AG129" s="44">
        <v>4.9196296768500005</v>
      </c>
      <c r="AH129" s="44">
        <v>2.23112457</v>
      </c>
    </row>
    <row r="130" spans="1:34" ht="22.5" customHeight="1">
      <c r="A130" s="89">
        <v>170</v>
      </c>
      <c r="B130" s="105" t="s">
        <v>73</v>
      </c>
      <c r="C130" s="33" t="s">
        <v>43</v>
      </c>
      <c r="D130" s="98">
        <v>15</v>
      </c>
      <c r="E130" s="98"/>
      <c r="F130" s="33" t="s">
        <v>54</v>
      </c>
      <c r="G130" s="33" t="s">
        <v>116</v>
      </c>
      <c r="H130" s="79" t="s">
        <v>78</v>
      </c>
      <c r="I130" s="79" t="s">
        <v>78</v>
      </c>
      <c r="J130" s="39" t="s">
        <v>46</v>
      </c>
      <c r="K130" s="34">
        <v>41.5</v>
      </c>
      <c r="L130" s="38" t="s">
        <v>84</v>
      </c>
      <c r="M130" s="35">
        <v>8.75</v>
      </c>
      <c r="N130" s="35" t="s">
        <v>84</v>
      </c>
      <c r="O130" s="36">
        <v>0.75</v>
      </c>
      <c r="P130" s="36">
        <v>1</v>
      </c>
      <c r="Q130" s="36"/>
      <c r="R130" s="36"/>
      <c r="S130" s="36"/>
      <c r="T130" s="36"/>
      <c r="U130" s="71">
        <v>1</v>
      </c>
      <c r="V130" s="203"/>
      <c r="W130" s="50">
        <v>2.5217013888888888</v>
      </c>
      <c r="X130" s="50">
        <v>2.5217013888888888</v>
      </c>
      <c r="Y130" s="81">
        <v>2.5217013888888888</v>
      </c>
      <c r="Z130" s="50">
        <v>2.5217013888888888</v>
      </c>
      <c r="AA130" s="50">
        <v>0.23427372500000002</v>
      </c>
      <c r="AB130" s="50">
        <v>0.23427372500000002</v>
      </c>
      <c r="AC130" s="64">
        <v>3.13</v>
      </c>
      <c r="AD130" s="64"/>
      <c r="AE130" s="64"/>
      <c r="AF130" s="64"/>
      <c r="AG130" s="44">
        <v>27.378398872125004</v>
      </c>
      <c r="AH130" s="44">
        <v>12.416507425000001</v>
      </c>
    </row>
    <row r="131" spans="1:34" ht="22.5" customHeight="1">
      <c r="A131" s="89">
        <v>171</v>
      </c>
      <c r="B131" s="105" t="s">
        <v>73</v>
      </c>
      <c r="C131" s="33" t="s">
        <v>65</v>
      </c>
      <c r="D131" s="98">
        <v>17</v>
      </c>
      <c r="E131" s="98"/>
      <c r="F131" s="33" t="s">
        <v>54</v>
      </c>
      <c r="G131" s="33" t="s">
        <v>116</v>
      </c>
      <c r="H131" s="103" t="s">
        <v>61</v>
      </c>
      <c r="I131" s="79" t="s">
        <v>60</v>
      </c>
      <c r="J131" s="39" t="s">
        <v>46</v>
      </c>
      <c r="K131" s="34">
        <v>79.5</v>
      </c>
      <c r="L131" s="38" t="s">
        <v>84</v>
      </c>
      <c r="M131" s="35">
        <v>22.5</v>
      </c>
      <c r="N131" s="35" t="s">
        <v>84</v>
      </c>
      <c r="O131" s="36">
        <v>0.75</v>
      </c>
      <c r="P131" s="36">
        <v>4</v>
      </c>
      <c r="Q131" s="36"/>
      <c r="R131" s="36"/>
      <c r="S131" s="36"/>
      <c r="T131" s="36"/>
      <c r="U131" s="71">
        <v>4</v>
      </c>
      <c r="V131" s="203"/>
      <c r="W131" s="50">
        <v>12.421875</v>
      </c>
      <c r="X131" s="50">
        <v>49.6875</v>
      </c>
      <c r="Y131" s="81">
        <v>12.421875</v>
      </c>
      <c r="Z131" s="50">
        <v>49.6875</v>
      </c>
      <c r="AA131" s="50">
        <v>1.15402995</v>
      </c>
      <c r="AB131" s="50">
        <v>4.6161197999999999</v>
      </c>
      <c r="AC131" s="64">
        <v>3.13</v>
      </c>
      <c r="AD131" s="64">
        <v>3</v>
      </c>
      <c r="AE131" s="64">
        <v>2</v>
      </c>
      <c r="AF131" s="64">
        <v>10</v>
      </c>
      <c r="AG131" s="44">
        <v>539.46284042700006</v>
      </c>
      <c r="AH131" s="44">
        <v>244.6543494</v>
      </c>
    </row>
    <row r="132" spans="1:34" ht="22.5" customHeight="1">
      <c r="A132" s="89">
        <v>172</v>
      </c>
      <c r="B132" s="105" t="s">
        <v>73</v>
      </c>
      <c r="C132" s="33" t="s">
        <v>65</v>
      </c>
      <c r="D132" s="98">
        <v>17</v>
      </c>
      <c r="E132" s="98"/>
      <c r="F132" s="33" t="s">
        <v>54</v>
      </c>
      <c r="G132" s="33" t="s">
        <v>116</v>
      </c>
      <c r="H132" s="79" t="s">
        <v>55</v>
      </c>
      <c r="I132" s="79" t="s">
        <v>60</v>
      </c>
      <c r="J132" s="39" t="s">
        <v>46</v>
      </c>
      <c r="K132" s="34">
        <v>79.5</v>
      </c>
      <c r="L132" s="38" t="s">
        <v>84</v>
      </c>
      <c r="M132" s="35">
        <v>3</v>
      </c>
      <c r="N132" s="35" t="s">
        <v>84</v>
      </c>
      <c r="O132" s="36">
        <v>0.75</v>
      </c>
      <c r="P132" s="36">
        <v>4</v>
      </c>
      <c r="Q132" s="36"/>
      <c r="R132" s="36"/>
      <c r="S132" s="36"/>
      <c r="T132" s="36"/>
      <c r="U132" s="71">
        <v>4</v>
      </c>
      <c r="V132" s="203"/>
      <c r="W132" s="50">
        <v>1.65625</v>
      </c>
      <c r="X132" s="50">
        <v>6.625</v>
      </c>
      <c r="Y132" s="81">
        <v>1.65625</v>
      </c>
      <c r="Z132" s="50">
        <v>6.625</v>
      </c>
      <c r="AA132" s="50">
        <v>0.15387066000000002</v>
      </c>
      <c r="AB132" s="50">
        <v>0.61548264000000008</v>
      </c>
      <c r="AC132" s="64">
        <v>3.13</v>
      </c>
      <c r="AD132" s="64"/>
      <c r="AE132" s="64"/>
      <c r="AF132" s="64"/>
      <c r="AG132" s="44">
        <v>71.928378723600005</v>
      </c>
      <c r="AH132" s="44">
        <v>32.620579920000004</v>
      </c>
    </row>
    <row r="133" spans="1:34" ht="22.5" customHeight="1">
      <c r="A133" s="89">
        <v>173</v>
      </c>
      <c r="B133" s="104" t="s">
        <v>73</v>
      </c>
      <c r="C133" s="33" t="s">
        <v>65</v>
      </c>
      <c r="D133" s="98">
        <v>17</v>
      </c>
      <c r="E133" s="98"/>
      <c r="F133" s="33" t="s">
        <v>54</v>
      </c>
      <c r="G133" s="33" t="s">
        <v>116</v>
      </c>
      <c r="H133" s="79" t="s">
        <v>56</v>
      </c>
      <c r="I133" s="79" t="s">
        <v>60</v>
      </c>
      <c r="J133" s="39" t="s">
        <v>46</v>
      </c>
      <c r="K133" s="38">
        <v>21.75</v>
      </c>
      <c r="L133" s="35" t="s">
        <v>84</v>
      </c>
      <c r="M133" s="38">
        <v>3</v>
      </c>
      <c r="N133" s="35" t="s">
        <v>84</v>
      </c>
      <c r="O133" s="36">
        <v>0.75</v>
      </c>
      <c r="P133" s="36">
        <v>4</v>
      </c>
      <c r="Q133" s="36"/>
      <c r="R133" s="36"/>
      <c r="S133" s="36"/>
      <c r="T133" s="36"/>
      <c r="U133" s="71">
        <v>4</v>
      </c>
      <c r="V133" s="203"/>
      <c r="W133" s="50">
        <v>0.453125</v>
      </c>
      <c r="X133" s="50">
        <v>1.8125</v>
      </c>
      <c r="Y133" s="81">
        <v>0.453125</v>
      </c>
      <c r="Z133" s="50">
        <v>1.8125</v>
      </c>
      <c r="AA133" s="50">
        <v>4.2096690000000006E-2</v>
      </c>
      <c r="AB133" s="50">
        <v>0.16838676000000002</v>
      </c>
      <c r="AC133" s="64">
        <v>3.13</v>
      </c>
      <c r="AD133" s="64"/>
      <c r="AE133" s="64"/>
      <c r="AF133" s="64"/>
      <c r="AG133" s="44">
        <v>19.678518707400002</v>
      </c>
      <c r="AH133" s="44">
        <v>8.9244982799999999</v>
      </c>
    </row>
    <row r="134" spans="1:34" ht="22.5" customHeight="1">
      <c r="A134" s="89">
        <v>174</v>
      </c>
      <c r="B134" s="105" t="s">
        <v>73</v>
      </c>
      <c r="C134" s="33" t="s">
        <v>65</v>
      </c>
      <c r="D134" s="98">
        <v>18</v>
      </c>
      <c r="E134" s="98"/>
      <c r="F134" s="33" t="s">
        <v>54</v>
      </c>
      <c r="G134" s="33" t="s">
        <v>116</v>
      </c>
      <c r="H134" s="79" t="s">
        <v>78</v>
      </c>
      <c r="I134" s="79" t="s">
        <v>78</v>
      </c>
      <c r="J134" s="39" t="s">
        <v>46</v>
      </c>
      <c r="K134" s="34">
        <v>41.5</v>
      </c>
      <c r="L134" s="35" t="s">
        <v>84</v>
      </c>
      <c r="M134" s="35">
        <v>8.75</v>
      </c>
      <c r="N134" s="35" t="s">
        <v>84</v>
      </c>
      <c r="O134" s="36">
        <v>0.75</v>
      </c>
      <c r="P134" s="36">
        <v>4</v>
      </c>
      <c r="Q134" s="36"/>
      <c r="R134" s="36"/>
      <c r="S134" s="36"/>
      <c r="T134" s="36"/>
      <c r="U134" s="71">
        <v>4</v>
      </c>
      <c r="V134" s="203"/>
      <c r="W134" s="50">
        <v>2.5217013888888888</v>
      </c>
      <c r="X134" s="50">
        <v>10.086805555555555</v>
      </c>
      <c r="Y134" s="81">
        <v>2.5217013888888888</v>
      </c>
      <c r="Z134" s="50">
        <v>10.086805555555555</v>
      </c>
      <c r="AA134" s="50">
        <v>0.23427372500000002</v>
      </c>
      <c r="AB134" s="50">
        <v>0.93709490000000006</v>
      </c>
      <c r="AC134" s="64">
        <v>3.13</v>
      </c>
      <c r="AD134" s="64"/>
      <c r="AE134" s="64"/>
      <c r="AF134" s="64"/>
      <c r="AG134" s="44">
        <v>109.51359548850002</v>
      </c>
      <c r="AH134" s="44">
        <v>49.666029700000003</v>
      </c>
    </row>
    <row r="135" spans="1:34" ht="22.5" customHeight="1">
      <c r="A135" s="89">
        <v>175</v>
      </c>
      <c r="B135" s="105" t="s">
        <v>74</v>
      </c>
      <c r="C135" s="33" t="s">
        <v>65</v>
      </c>
      <c r="D135" s="98">
        <v>23</v>
      </c>
      <c r="E135" s="98"/>
      <c r="F135" s="33" t="s">
        <v>54</v>
      </c>
      <c r="G135" s="33" t="s">
        <v>116</v>
      </c>
      <c r="H135" s="103" t="s">
        <v>61</v>
      </c>
      <c r="I135" s="79" t="s">
        <v>60</v>
      </c>
      <c r="J135" s="39" t="s">
        <v>46</v>
      </c>
      <c r="K135" s="34">
        <v>73.5</v>
      </c>
      <c r="L135" s="38" t="s">
        <v>84</v>
      </c>
      <c r="M135" s="35">
        <v>22.5</v>
      </c>
      <c r="N135" s="35" t="s">
        <v>84</v>
      </c>
      <c r="O135" s="36">
        <v>0.75</v>
      </c>
      <c r="P135" s="36">
        <v>1</v>
      </c>
      <c r="Q135" s="36"/>
      <c r="R135" s="36"/>
      <c r="S135" s="36"/>
      <c r="T135" s="36"/>
      <c r="U135" s="71">
        <v>1</v>
      </c>
      <c r="V135" s="203"/>
      <c r="W135" s="50">
        <v>11.484375</v>
      </c>
      <c r="X135" s="50">
        <v>11.484375</v>
      </c>
      <c r="Y135" s="81">
        <v>11.484375</v>
      </c>
      <c r="Z135" s="50">
        <v>11.484375</v>
      </c>
      <c r="AA135" s="50">
        <v>1.06693335</v>
      </c>
      <c r="AB135" s="50">
        <v>1.06693335</v>
      </c>
      <c r="AC135" s="64">
        <v>3.13</v>
      </c>
      <c r="AD135" s="64">
        <v>3</v>
      </c>
      <c r="AE135" s="64">
        <v>2</v>
      </c>
      <c r="AF135" s="64">
        <v>10</v>
      </c>
      <c r="AG135" s="44">
        <v>124.68716594775</v>
      </c>
      <c r="AH135" s="44">
        <v>56.54746755</v>
      </c>
    </row>
    <row r="136" spans="1:34" ht="22.5" customHeight="1">
      <c r="A136" s="89">
        <v>176</v>
      </c>
      <c r="B136" s="105" t="s">
        <v>74</v>
      </c>
      <c r="C136" s="33" t="s">
        <v>65</v>
      </c>
      <c r="D136" s="98">
        <v>23</v>
      </c>
      <c r="E136" s="98"/>
      <c r="F136" s="33" t="s">
        <v>54</v>
      </c>
      <c r="G136" s="33" t="s">
        <v>116</v>
      </c>
      <c r="H136" s="79" t="s">
        <v>55</v>
      </c>
      <c r="I136" s="79" t="s">
        <v>60</v>
      </c>
      <c r="J136" s="39" t="s">
        <v>46</v>
      </c>
      <c r="K136" s="34">
        <v>73.5</v>
      </c>
      <c r="L136" s="38" t="s">
        <v>84</v>
      </c>
      <c r="M136" s="35">
        <v>3</v>
      </c>
      <c r="N136" s="35" t="s">
        <v>84</v>
      </c>
      <c r="O136" s="36">
        <v>0.75</v>
      </c>
      <c r="P136" s="36">
        <v>1</v>
      </c>
      <c r="Q136" s="36"/>
      <c r="R136" s="36"/>
      <c r="S136" s="36"/>
      <c r="T136" s="36"/>
      <c r="U136" s="71">
        <v>1</v>
      </c>
      <c r="V136" s="203"/>
      <c r="W136" s="50">
        <v>1.53125</v>
      </c>
      <c r="X136" s="50">
        <v>1.53125</v>
      </c>
      <c r="Y136" s="81">
        <v>1.53125</v>
      </c>
      <c r="Z136" s="50">
        <v>1.53125</v>
      </c>
      <c r="AA136" s="50">
        <v>0.14225778</v>
      </c>
      <c r="AB136" s="50">
        <v>0.14225778</v>
      </c>
      <c r="AC136" s="64">
        <v>3.13</v>
      </c>
      <c r="AD136" s="64"/>
      <c r="AE136" s="64"/>
      <c r="AF136" s="64"/>
      <c r="AG136" s="44">
        <v>16.624955459700001</v>
      </c>
      <c r="AH136" s="44">
        <v>7.5396623399999996</v>
      </c>
    </row>
    <row r="137" spans="1:34" ht="22.5" customHeight="1">
      <c r="A137" s="89">
        <v>177</v>
      </c>
      <c r="B137" s="105" t="s">
        <v>74</v>
      </c>
      <c r="C137" s="33" t="s">
        <v>65</v>
      </c>
      <c r="D137" s="98">
        <v>23</v>
      </c>
      <c r="E137" s="98"/>
      <c r="F137" s="33" t="s">
        <v>54</v>
      </c>
      <c r="G137" s="33" t="s">
        <v>116</v>
      </c>
      <c r="H137" s="79" t="s">
        <v>56</v>
      </c>
      <c r="I137" s="79" t="s">
        <v>60</v>
      </c>
      <c r="J137" s="39" t="s">
        <v>46</v>
      </c>
      <c r="K137" s="34">
        <v>21.75</v>
      </c>
      <c r="L137" s="38" t="s">
        <v>84</v>
      </c>
      <c r="M137" s="35">
        <v>3</v>
      </c>
      <c r="N137" s="35" t="s">
        <v>84</v>
      </c>
      <c r="O137" s="36">
        <v>0.75</v>
      </c>
      <c r="P137" s="36">
        <v>1</v>
      </c>
      <c r="Q137" s="36"/>
      <c r="R137" s="36"/>
      <c r="S137" s="36"/>
      <c r="T137" s="36"/>
      <c r="U137" s="71">
        <v>1</v>
      </c>
      <c r="V137" s="203"/>
      <c r="W137" s="50">
        <v>0.453125</v>
      </c>
      <c r="X137" s="50">
        <v>0.453125</v>
      </c>
      <c r="Y137" s="81">
        <v>0.453125</v>
      </c>
      <c r="Z137" s="50">
        <v>0.453125</v>
      </c>
      <c r="AA137" s="50">
        <v>4.2096690000000006E-2</v>
      </c>
      <c r="AB137" s="50">
        <v>4.2096690000000006E-2</v>
      </c>
      <c r="AC137" s="64">
        <v>3.13</v>
      </c>
      <c r="AD137" s="64"/>
      <c r="AE137" s="64"/>
      <c r="AF137" s="64"/>
      <c r="AG137" s="44">
        <v>4.9196296768500005</v>
      </c>
      <c r="AH137" s="44">
        <v>2.23112457</v>
      </c>
    </row>
    <row r="138" spans="1:34" ht="22.5" customHeight="1">
      <c r="A138" s="89">
        <v>178</v>
      </c>
      <c r="B138" s="104" t="s">
        <v>74</v>
      </c>
      <c r="C138" s="33" t="s">
        <v>65</v>
      </c>
      <c r="D138" s="98">
        <v>24</v>
      </c>
      <c r="E138" s="98"/>
      <c r="F138" s="33" t="s">
        <v>54</v>
      </c>
      <c r="G138" s="33" t="s">
        <v>116</v>
      </c>
      <c r="H138" s="79" t="s">
        <v>61</v>
      </c>
      <c r="I138" s="79" t="s">
        <v>60</v>
      </c>
      <c r="J138" s="39" t="s">
        <v>46</v>
      </c>
      <c r="K138" s="38">
        <v>66.5</v>
      </c>
      <c r="L138" s="35" t="s">
        <v>84</v>
      </c>
      <c r="M138" s="38">
        <v>22.5</v>
      </c>
      <c r="N138" s="35" t="s">
        <v>84</v>
      </c>
      <c r="O138" s="36">
        <v>0.75</v>
      </c>
      <c r="P138" s="36">
        <v>1</v>
      </c>
      <c r="Q138" s="36"/>
      <c r="R138" s="36"/>
      <c r="S138" s="36"/>
      <c r="T138" s="36"/>
      <c r="U138" s="71">
        <v>1</v>
      </c>
      <c r="V138" s="203"/>
      <c r="W138" s="50">
        <v>10.390625</v>
      </c>
      <c r="X138" s="50">
        <v>10.390625</v>
      </c>
      <c r="Y138" s="81">
        <v>10.390625</v>
      </c>
      <c r="Z138" s="50">
        <v>10.390625</v>
      </c>
      <c r="AA138" s="50">
        <v>0.96532065000000011</v>
      </c>
      <c r="AB138" s="50">
        <v>0.96532065000000011</v>
      </c>
      <c r="AC138" s="64">
        <v>3.13</v>
      </c>
      <c r="AD138" s="64"/>
      <c r="AE138" s="64">
        <v>1</v>
      </c>
      <c r="AF138" s="64"/>
      <c r="AG138" s="44">
        <v>112.81219776225001</v>
      </c>
      <c r="AH138" s="44">
        <v>51.161994450000002</v>
      </c>
    </row>
    <row r="139" spans="1:34" ht="22.5" customHeight="1">
      <c r="A139" s="89">
        <v>179</v>
      </c>
      <c r="B139" s="105" t="s">
        <v>74</v>
      </c>
      <c r="C139" s="33" t="s">
        <v>65</v>
      </c>
      <c r="D139" s="98">
        <v>24</v>
      </c>
      <c r="E139" s="98"/>
      <c r="F139" s="33" t="s">
        <v>54</v>
      </c>
      <c r="G139" s="33" t="s">
        <v>116</v>
      </c>
      <c r="H139" s="79" t="s">
        <v>55</v>
      </c>
      <c r="I139" s="79" t="s">
        <v>60</v>
      </c>
      <c r="J139" s="39" t="s">
        <v>46</v>
      </c>
      <c r="K139" s="34">
        <v>66.5</v>
      </c>
      <c r="L139" s="35" t="s">
        <v>84</v>
      </c>
      <c r="M139" s="35">
        <v>3</v>
      </c>
      <c r="N139" s="35" t="s">
        <v>84</v>
      </c>
      <c r="O139" s="36">
        <v>0.75</v>
      </c>
      <c r="P139" s="36">
        <v>1</v>
      </c>
      <c r="Q139" s="36"/>
      <c r="R139" s="36"/>
      <c r="S139" s="36"/>
      <c r="T139" s="36"/>
      <c r="U139" s="71">
        <v>1</v>
      </c>
      <c r="V139" s="203"/>
      <c r="W139" s="50">
        <v>1.3854166666666667</v>
      </c>
      <c r="X139" s="50">
        <v>1.3854166666666667</v>
      </c>
      <c r="Y139" s="81">
        <v>1.3854166666666667</v>
      </c>
      <c r="Z139" s="50">
        <v>1.3854166666666667</v>
      </c>
      <c r="AA139" s="50">
        <v>0.12870942000000002</v>
      </c>
      <c r="AB139" s="50">
        <v>0.12870942000000002</v>
      </c>
      <c r="AC139" s="64">
        <v>3.13</v>
      </c>
      <c r="AD139" s="64"/>
      <c r="AE139" s="64"/>
      <c r="AF139" s="64"/>
      <c r="AG139" s="44">
        <v>15.041626368300003</v>
      </c>
      <c r="AH139" s="44">
        <v>6.8215992600000011</v>
      </c>
    </row>
    <row r="140" spans="1:34" ht="22.5" customHeight="1">
      <c r="A140" s="89">
        <v>180</v>
      </c>
      <c r="B140" s="105" t="s">
        <v>74</v>
      </c>
      <c r="C140" s="33" t="s">
        <v>65</v>
      </c>
      <c r="D140" s="98">
        <v>24</v>
      </c>
      <c r="E140" s="98"/>
      <c r="F140" s="33" t="s">
        <v>54</v>
      </c>
      <c r="G140" s="33" t="s">
        <v>116</v>
      </c>
      <c r="H140" s="79" t="s">
        <v>56</v>
      </c>
      <c r="I140" s="79" t="s">
        <v>60</v>
      </c>
      <c r="J140" s="39" t="s">
        <v>46</v>
      </c>
      <c r="K140" s="34">
        <v>21.75</v>
      </c>
      <c r="L140" s="38" t="s">
        <v>84</v>
      </c>
      <c r="M140" s="35">
        <v>3</v>
      </c>
      <c r="N140" s="35" t="s">
        <v>84</v>
      </c>
      <c r="O140" s="36">
        <v>0.75</v>
      </c>
      <c r="P140" s="36">
        <v>1</v>
      </c>
      <c r="Q140" s="36"/>
      <c r="R140" s="36"/>
      <c r="S140" s="36"/>
      <c r="T140" s="36"/>
      <c r="U140" s="71">
        <v>1</v>
      </c>
      <c r="V140" s="203"/>
      <c r="W140" s="50">
        <v>0.453125</v>
      </c>
      <c r="X140" s="50">
        <v>0.453125</v>
      </c>
      <c r="Y140" s="81">
        <v>0.453125</v>
      </c>
      <c r="Z140" s="50">
        <v>0.453125</v>
      </c>
      <c r="AA140" s="50">
        <v>4.2096690000000006E-2</v>
      </c>
      <c r="AB140" s="50">
        <v>4.2096690000000006E-2</v>
      </c>
      <c r="AC140" s="64">
        <v>3.13</v>
      </c>
      <c r="AD140" s="64"/>
      <c r="AE140" s="64"/>
      <c r="AF140" s="64"/>
      <c r="AG140" s="44">
        <v>4.9196296768500005</v>
      </c>
      <c r="AH140" s="44">
        <v>2.23112457</v>
      </c>
    </row>
    <row r="141" spans="1:34" ht="22.5" customHeight="1">
      <c r="A141" s="89">
        <v>181</v>
      </c>
      <c r="B141" s="105" t="s">
        <v>75</v>
      </c>
      <c r="C141" s="33" t="s">
        <v>65</v>
      </c>
      <c r="D141" s="98">
        <v>30</v>
      </c>
      <c r="E141" s="98"/>
      <c r="F141" s="33" t="s">
        <v>54</v>
      </c>
      <c r="G141" s="33" t="s">
        <v>116</v>
      </c>
      <c r="H141" s="103" t="s">
        <v>61</v>
      </c>
      <c r="I141" s="79" t="s">
        <v>60</v>
      </c>
      <c r="J141" s="39" t="s">
        <v>46</v>
      </c>
      <c r="K141" s="34">
        <v>79.5</v>
      </c>
      <c r="L141" s="38" t="s">
        <v>84</v>
      </c>
      <c r="M141" s="35">
        <v>22.5</v>
      </c>
      <c r="N141" s="35" t="s">
        <v>84</v>
      </c>
      <c r="O141" s="36">
        <v>0.75</v>
      </c>
      <c r="P141" s="36">
        <v>2</v>
      </c>
      <c r="Q141" s="36"/>
      <c r="R141" s="36"/>
      <c r="S141" s="36"/>
      <c r="T141" s="36"/>
      <c r="U141" s="71">
        <v>2</v>
      </c>
      <c r="V141" s="203"/>
      <c r="W141" s="50">
        <v>12.421875</v>
      </c>
      <c r="X141" s="50">
        <v>24.84375</v>
      </c>
      <c r="Y141" s="81">
        <v>12.421875</v>
      </c>
      <c r="Z141" s="50">
        <v>24.84375</v>
      </c>
      <c r="AA141" s="50">
        <v>1.15402995</v>
      </c>
      <c r="AB141" s="50">
        <v>2.3080598999999999</v>
      </c>
      <c r="AC141" s="64">
        <v>3.13</v>
      </c>
      <c r="AD141" s="64">
        <v>3</v>
      </c>
      <c r="AE141" s="64">
        <v>2</v>
      </c>
      <c r="AF141" s="64">
        <v>10</v>
      </c>
      <c r="AG141" s="44">
        <v>269.73142021350003</v>
      </c>
      <c r="AH141" s="44">
        <v>122.3271747</v>
      </c>
    </row>
    <row r="142" spans="1:34" ht="22.5" customHeight="1">
      <c r="A142" s="89">
        <v>182</v>
      </c>
      <c r="B142" s="105" t="s">
        <v>75</v>
      </c>
      <c r="C142" s="33" t="s">
        <v>65</v>
      </c>
      <c r="D142" s="98">
        <v>30</v>
      </c>
      <c r="E142" s="98"/>
      <c r="F142" s="33" t="s">
        <v>54</v>
      </c>
      <c r="G142" s="33" t="s">
        <v>116</v>
      </c>
      <c r="H142" s="79" t="s">
        <v>55</v>
      </c>
      <c r="I142" s="79" t="s">
        <v>60</v>
      </c>
      <c r="J142" s="39" t="s">
        <v>46</v>
      </c>
      <c r="K142" s="34">
        <v>79.5</v>
      </c>
      <c r="L142" s="38" t="s">
        <v>84</v>
      </c>
      <c r="M142" s="35">
        <v>3</v>
      </c>
      <c r="N142" s="35" t="s">
        <v>84</v>
      </c>
      <c r="O142" s="36">
        <v>0.75</v>
      </c>
      <c r="P142" s="36">
        <v>2</v>
      </c>
      <c r="Q142" s="36"/>
      <c r="R142" s="36"/>
      <c r="S142" s="36"/>
      <c r="T142" s="36"/>
      <c r="U142" s="71">
        <v>2</v>
      </c>
      <c r="V142" s="203"/>
      <c r="W142" s="50">
        <v>1.65625</v>
      </c>
      <c r="X142" s="50">
        <v>3.3125</v>
      </c>
      <c r="Y142" s="81">
        <v>1.65625</v>
      </c>
      <c r="Z142" s="50">
        <v>3.3125</v>
      </c>
      <c r="AA142" s="50">
        <v>0.15387066000000002</v>
      </c>
      <c r="AB142" s="50">
        <v>0.30774132000000004</v>
      </c>
      <c r="AC142" s="64">
        <v>3.13</v>
      </c>
      <c r="AD142" s="64"/>
      <c r="AE142" s="64"/>
      <c r="AF142" s="64"/>
      <c r="AG142" s="44">
        <v>35.964189361800003</v>
      </c>
      <c r="AH142" s="44">
        <v>16.310289960000002</v>
      </c>
    </row>
    <row r="143" spans="1:34" ht="22.5" customHeight="1">
      <c r="A143" s="89">
        <v>183</v>
      </c>
      <c r="B143" s="104" t="s">
        <v>75</v>
      </c>
      <c r="C143" s="33" t="s">
        <v>65</v>
      </c>
      <c r="D143" s="98">
        <v>30</v>
      </c>
      <c r="E143" s="98"/>
      <c r="F143" s="33" t="s">
        <v>54</v>
      </c>
      <c r="G143" s="33" t="s">
        <v>116</v>
      </c>
      <c r="H143" s="79" t="s">
        <v>56</v>
      </c>
      <c r="I143" s="79" t="s">
        <v>60</v>
      </c>
      <c r="J143" s="39" t="s">
        <v>46</v>
      </c>
      <c r="K143" s="38">
        <v>21.75</v>
      </c>
      <c r="L143" s="35" t="s">
        <v>84</v>
      </c>
      <c r="M143" s="38">
        <v>3</v>
      </c>
      <c r="N143" s="35" t="s">
        <v>84</v>
      </c>
      <c r="O143" s="36">
        <v>0.75</v>
      </c>
      <c r="P143" s="36">
        <v>2</v>
      </c>
      <c r="Q143" s="36"/>
      <c r="R143" s="36"/>
      <c r="S143" s="36"/>
      <c r="T143" s="36"/>
      <c r="U143" s="71">
        <v>2</v>
      </c>
      <c r="V143" s="203"/>
      <c r="W143" s="50">
        <v>0.453125</v>
      </c>
      <c r="X143" s="50">
        <v>0.90625</v>
      </c>
      <c r="Y143" s="81">
        <v>0.453125</v>
      </c>
      <c r="Z143" s="50">
        <v>0.90625</v>
      </c>
      <c r="AA143" s="50">
        <v>4.2096690000000006E-2</v>
      </c>
      <c r="AB143" s="50">
        <v>8.4193380000000012E-2</v>
      </c>
      <c r="AC143" s="64">
        <v>3.13</v>
      </c>
      <c r="AD143" s="64"/>
      <c r="AE143" s="64"/>
      <c r="AF143" s="64"/>
      <c r="AG143" s="44">
        <v>9.839259353700001</v>
      </c>
      <c r="AH143" s="44">
        <v>4.4622491399999999</v>
      </c>
    </row>
    <row r="144" spans="1:34" ht="22.5" customHeight="1">
      <c r="A144" s="89">
        <v>184</v>
      </c>
      <c r="B144" s="105" t="s">
        <v>75</v>
      </c>
      <c r="C144" s="33" t="s">
        <v>65</v>
      </c>
      <c r="D144" s="98">
        <v>31</v>
      </c>
      <c r="E144" s="98"/>
      <c r="F144" s="33" t="s">
        <v>54</v>
      </c>
      <c r="G144" s="33" t="s">
        <v>116</v>
      </c>
      <c r="H144" s="79" t="s">
        <v>61</v>
      </c>
      <c r="I144" s="79" t="s">
        <v>60</v>
      </c>
      <c r="J144" s="39" t="s">
        <v>46</v>
      </c>
      <c r="K144" s="34">
        <v>51.5</v>
      </c>
      <c r="L144" s="35" t="s">
        <v>84</v>
      </c>
      <c r="M144" s="35">
        <v>22.5</v>
      </c>
      <c r="N144" s="35" t="s">
        <v>84</v>
      </c>
      <c r="O144" s="36">
        <v>0.75</v>
      </c>
      <c r="P144" s="36">
        <v>2</v>
      </c>
      <c r="Q144" s="36"/>
      <c r="R144" s="36"/>
      <c r="S144" s="36"/>
      <c r="T144" s="36"/>
      <c r="U144" s="71">
        <v>2</v>
      </c>
      <c r="V144" s="203"/>
      <c r="W144" s="50">
        <v>8.046875</v>
      </c>
      <c r="X144" s="50">
        <v>16.09375</v>
      </c>
      <c r="Y144" s="81">
        <v>8.046875</v>
      </c>
      <c r="Z144" s="50">
        <v>16.09375</v>
      </c>
      <c r="AA144" s="50">
        <v>0.74757915000000008</v>
      </c>
      <c r="AB144" s="50">
        <v>1.4951583000000002</v>
      </c>
      <c r="AC144" s="64">
        <v>3.13</v>
      </c>
      <c r="AD144" s="64"/>
      <c r="AE144" s="64">
        <v>1</v>
      </c>
      <c r="AF144" s="64"/>
      <c r="AG144" s="44">
        <v>174.73167472949999</v>
      </c>
      <c r="AH144" s="44">
        <v>79.243389899999997</v>
      </c>
    </row>
    <row r="145" spans="1:34" ht="22.5" customHeight="1">
      <c r="A145" s="89">
        <v>185</v>
      </c>
      <c r="B145" s="105" t="s">
        <v>75</v>
      </c>
      <c r="C145" s="33" t="s">
        <v>65</v>
      </c>
      <c r="D145" s="98">
        <v>31</v>
      </c>
      <c r="E145" s="98"/>
      <c r="F145" s="33" t="s">
        <v>54</v>
      </c>
      <c r="G145" s="33" t="s">
        <v>116</v>
      </c>
      <c r="H145" s="79" t="s">
        <v>55</v>
      </c>
      <c r="I145" s="79" t="s">
        <v>60</v>
      </c>
      <c r="J145" s="39" t="s">
        <v>46</v>
      </c>
      <c r="K145" s="34">
        <v>51.5</v>
      </c>
      <c r="L145" s="35" t="s">
        <v>84</v>
      </c>
      <c r="M145" s="35">
        <v>3</v>
      </c>
      <c r="N145" s="35" t="s">
        <v>84</v>
      </c>
      <c r="O145" s="36">
        <v>0.75</v>
      </c>
      <c r="P145" s="36">
        <v>2</v>
      </c>
      <c r="Q145" s="36"/>
      <c r="R145" s="36"/>
      <c r="S145" s="36"/>
      <c r="T145" s="36"/>
      <c r="U145" s="71">
        <v>2</v>
      </c>
      <c r="V145" s="203"/>
      <c r="W145" s="50">
        <v>1.0729166666666667</v>
      </c>
      <c r="X145" s="50">
        <v>2.1458333333333335</v>
      </c>
      <c r="Y145" s="81">
        <v>1.0729166666666667</v>
      </c>
      <c r="Z145" s="50">
        <v>2.1458333333333335</v>
      </c>
      <c r="AA145" s="50">
        <v>9.9677220000000011E-2</v>
      </c>
      <c r="AB145" s="50">
        <v>0.19935444000000002</v>
      </c>
      <c r="AC145" s="64">
        <v>3.13</v>
      </c>
      <c r="AD145" s="64"/>
      <c r="AE145" s="64"/>
      <c r="AF145" s="64"/>
      <c r="AG145" s="44">
        <v>23.297556630600003</v>
      </c>
      <c r="AH145" s="44">
        <v>10.565785320000002</v>
      </c>
    </row>
    <row r="146" spans="1:34" ht="22.5" customHeight="1">
      <c r="A146" s="89">
        <v>186</v>
      </c>
      <c r="B146" s="105" t="s">
        <v>75</v>
      </c>
      <c r="C146" s="33" t="s">
        <v>65</v>
      </c>
      <c r="D146" s="98">
        <v>32</v>
      </c>
      <c r="E146" s="98"/>
      <c r="F146" s="33" t="s">
        <v>54</v>
      </c>
      <c r="G146" s="33" t="s">
        <v>116</v>
      </c>
      <c r="H146" s="79" t="s">
        <v>78</v>
      </c>
      <c r="I146" s="79" t="s">
        <v>78</v>
      </c>
      <c r="J146" s="39" t="s">
        <v>46</v>
      </c>
      <c r="K146" s="34">
        <v>41.5</v>
      </c>
      <c r="L146" s="35" t="s">
        <v>84</v>
      </c>
      <c r="M146" s="35">
        <v>8.75</v>
      </c>
      <c r="N146" s="35" t="s">
        <v>84</v>
      </c>
      <c r="O146" s="36">
        <v>0.75</v>
      </c>
      <c r="P146" s="36">
        <v>2</v>
      </c>
      <c r="Q146" s="36"/>
      <c r="R146" s="36"/>
      <c r="S146" s="36"/>
      <c r="T146" s="36"/>
      <c r="U146" s="71">
        <v>2</v>
      </c>
      <c r="V146" s="203"/>
      <c r="W146" s="50">
        <v>2.5217013888888888</v>
      </c>
      <c r="X146" s="50">
        <v>5.0434027777777777</v>
      </c>
      <c r="Y146" s="81">
        <v>2.5217013888888888</v>
      </c>
      <c r="Z146" s="50">
        <v>5.0434027777777777</v>
      </c>
      <c r="AA146" s="50">
        <v>0.23427372500000002</v>
      </c>
      <c r="AB146" s="50">
        <v>0.46854745000000003</v>
      </c>
      <c r="AC146" s="64">
        <v>3.13</v>
      </c>
      <c r="AD146" s="64"/>
      <c r="AE146" s="64"/>
      <c r="AF146" s="64"/>
      <c r="AG146" s="44">
        <v>54.756797744250008</v>
      </c>
      <c r="AH146" s="44">
        <v>24.833014850000001</v>
      </c>
    </row>
    <row r="147" spans="1:34" ht="22.5" customHeight="1">
      <c r="A147" s="89">
        <v>187</v>
      </c>
      <c r="B147" s="104" t="s">
        <v>76</v>
      </c>
      <c r="C147" s="33" t="s">
        <v>65</v>
      </c>
      <c r="D147" s="98">
        <v>45</v>
      </c>
      <c r="E147" s="98"/>
      <c r="F147" s="33" t="s">
        <v>54</v>
      </c>
      <c r="G147" s="33" t="s">
        <v>116</v>
      </c>
      <c r="H147" s="103" t="s">
        <v>61</v>
      </c>
      <c r="I147" s="79" t="s">
        <v>60</v>
      </c>
      <c r="J147" s="39" t="s">
        <v>46</v>
      </c>
      <c r="K147" s="38">
        <v>70.5</v>
      </c>
      <c r="L147" s="35" t="s">
        <v>84</v>
      </c>
      <c r="M147" s="38">
        <v>22.5</v>
      </c>
      <c r="N147" s="35" t="s">
        <v>84</v>
      </c>
      <c r="O147" s="36">
        <v>0.75</v>
      </c>
      <c r="P147" s="36">
        <v>1</v>
      </c>
      <c r="Q147" s="36"/>
      <c r="R147" s="36"/>
      <c r="S147" s="36"/>
      <c r="T147" s="36"/>
      <c r="U147" s="71">
        <v>1</v>
      </c>
      <c r="V147" s="203"/>
      <c r="W147" s="50">
        <v>11.015625</v>
      </c>
      <c r="X147" s="50">
        <v>11.015625</v>
      </c>
      <c r="Y147" s="81">
        <v>11.015625</v>
      </c>
      <c r="Z147" s="50">
        <v>11.015625</v>
      </c>
      <c r="AA147" s="50">
        <v>1.0233850500000001</v>
      </c>
      <c r="AB147" s="50">
        <v>1.0233850500000001</v>
      </c>
      <c r="AC147" s="64">
        <v>3.13</v>
      </c>
      <c r="AD147" s="64">
        <v>3</v>
      </c>
      <c r="AE147" s="64">
        <v>2</v>
      </c>
      <c r="AF147" s="64">
        <v>10</v>
      </c>
      <c r="AG147" s="44">
        <v>119.59789386825001</v>
      </c>
      <c r="AH147" s="44">
        <v>54.239407650000004</v>
      </c>
    </row>
    <row r="148" spans="1:34" ht="22.5" customHeight="1">
      <c r="A148" s="89">
        <v>188</v>
      </c>
      <c r="B148" s="105" t="s">
        <v>76</v>
      </c>
      <c r="C148" s="33" t="s">
        <v>65</v>
      </c>
      <c r="D148" s="98">
        <v>45</v>
      </c>
      <c r="E148" s="98"/>
      <c r="F148" s="33" t="s">
        <v>54</v>
      </c>
      <c r="G148" s="33" t="s">
        <v>116</v>
      </c>
      <c r="H148" s="79" t="s">
        <v>55</v>
      </c>
      <c r="I148" s="79" t="s">
        <v>60</v>
      </c>
      <c r="J148" s="39" t="s">
        <v>46</v>
      </c>
      <c r="K148" s="34">
        <v>70.5</v>
      </c>
      <c r="L148" s="35" t="s">
        <v>84</v>
      </c>
      <c r="M148" s="35">
        <v>3</v>
      </c>
      <c r="N148" s="35" t="s">
        <v>84</v>
      </c>
      <c r="O148" s="36">
        <v>0.75</v>
      </c>
      <c r="P148" s="36">
        <v>1</v>
      </c>
      <c r="Q148" s="36"/>
      <c r="R148" s="36"/>
      <c r="S148" s="36"/>
      <c r="T148" s="36"/>
      <c r="U148" s="71">
        <v>1</v>
      </c>
      <c r="V148" s="203"/>
      <c r="W148" s="50">
        <v>1.46875</v>
      </c>
      <c r="X148" s="50">
        <v>1.46875</v>
      </c>
      <c r="Y148" s="81">
        <v>1.46875</v>
      </c>
      <c r="Z148" s="50">
        <v>1.46875</v>
      </c>
      <c r="AA148" s="50">
        <v>0.13645134</v>
      </c>
      <c r="AB148" s="50">
        <v>0.13645134</v>
      </c>
      <c r="AC148" s="64">
        <v>3.13</v>
      </c>
      <c r="AD148" s="64"/>
      <c r="AE148" s="64"/>
      <c r="AF148" s="64"/>
      <c r="AG148" s="44">
        <v>15.9463858491</v>
      </c>
      <c r="AH148" s="44">
        <v>7.2319210199999997</v>
      </c>
    </row>
    <row r="149" spans="1:34" ht="22.5" customHeight="1">
      <c r="A149" s="89">
        <v>189</v>
      </c>
      <c r="B149" s="105" t="s">
        <v>76</v>
      </c>
      <c r="C149" s="33" t="s">
        <v>65</v>
      </c>
      <c r="D149" s="98">
        <v>45</v>
      </c>
      <c r="E149" s="98"/>
      <c r="F149" s="33" t="s">
        <v>54</v>
      </c>
      <c r="G149" s="33" t="s">
        <v>116</v>
      </c>
      <c r="H149" s="79" t="s">
        <v>56</v>
      </c>
      <c r="I149" s="79" t="s">
        <v>60</v>
      </c>
      <c r="J149" s="39" t="s">
        <v>46</v>
      </c>
      <c r="K149" s="34">
        <v>21.75</v>
      </c>
      <c r="L149" s="35" t="s">
        <v>84</v>
      </c>
      <c r="M149" s="35">
        <v>3</v>
      </c>
      <c r="N149" s="35" t="s">
        <v>84</v>
      </c>
      <c r="O149" s="36">
        <v>0.75</v>
      </c>
      <c r="P149" s="36">
        <v>1</v>
      </c>
      <c r="Q149" s="36"/>
      <c r="R149" s="36"/>
      <c r="S149" s="36"/>
      <c r="T149" s="36"/>
      <c r="U149" s="71">
        <v>1</v>
      </c>
      <c r="V149" s="203"/>
      <c r="W149" s="50">
        <v>0.453125</v>
      </c>
      <c r="X149" s="50">
        <v>0.453125</v>
      </c>
      <c r="Y149" s="81">
        <v>0.453125</v>
      </c>
      <c r="Z149" s="50">
        <v>0.453125</v>
      </c>
      <c r="AA149" s="50">
        <v>4.2096690000000006E-2</v>
      </c>
      <c r="AB149" s="50">
        <v>4.2096690000000006E-2</v>
      </c>
      <c r="AC149" s="64">
        <v>3.13</v>
      </c>
      <c r="AD149" s="64"/>
      <c r="AE149" s="64"/>
      <c r="AF149" s="64"/>
      <c r="AG149" s="44">
        <v>4.9196296768500005</v>
      </c>
      <c r="AH149" s="44">
        <v>2.23112457</v>
      </c>
    </row>
    <row r="150" spans="1:34" ht="22.5" customHeight="1">
      <c r="A150" s="89">
        <v>190</v>
      </c>
      <c r="B150" s="104" t="s">
        <v>76</v>
      </c>
      <c r="C150" s="33" t="s">
        <v>65</v>
      </c>
      <c r="D150" s="98">
        <v>46</v>
      </c>
      <c r="E150" s="98"/>
      <c r="F150" s="33" t="s">
        <v>54</v>
      </c>
      <c r="G150" s="33" t="s">
        <v>116</v>
      </c>
      <c r="H150" s="103" t="s">
        <v>61</v>
      </c>
      <c r="I150" s="79" t="s">
        <v>60</v>
      </c>
      <c r="J150" s="39" t="s">
        <v>46</v>
      </c>
      <c r="K150" s="38">
        <v>76.5</v>
      </c>
      <c r="L150" s="80" t="s">
        <v>84</v>
      </c>
      <c r="M150" s="38">
        <v>22.5</v>
      </c>
      <c r="N150" s="35" t="s">
        <v>84</v>
      </c>
      <c r="O150" s="36">
        <v>0.75</v>
      </c>
      <c r="P150" s="36">
        <v>1</v>
      </c>
      <c r="Q150" s="36"/>
      <c r="R150" s="36"/>
      <c r="S150" s="36"/>
      <c r="T150" s="36"/>
      <c r="U150" s="71">
        <v>1</v>
      </c>
      <c r="V150" s="203"/>
      <c r="W150" s="50">
        <v>11.953125</v>
      </c>
      <c r="X150" s="50">
        <v>11.953125</v>
      </c>
      <c r="Y150" s="81">
        <v>11.953125</v>
      </c>
      <c r="Z150" s="50">
        <v>11.953125</v>
      </c>
      <c r="AA150" s="50">
        <v>1.1104816500000001</v>
      </c>
      <c r="AB150" s="50">
        <v>1.1104816500000001</v>
      </c>
      <c r="AC150" s="64">
        <v>3.13</v>
      </c>
      <c r="AD150" s="64">
        <v>3</v>
      </c>
      <c r="AE150" s="64">
        <v>2</v>
      </c>
      <c r="AF150" s="64">
        <v>10</v>
      </c>
      <c r="AG150" s="44">
        <v>129.77643802725001</v>
      </c>
      <c r="AH150" s="44">
        <v>58.855527449999997</v>
      </c>
    </row>
    <row r="151" spans="1:34" ht="22.5" customHeight="1">
      <c r="A151" s="89">
        <v>191</v>
      </c>
      <c r="B151" s="105" t="s">
        <v>76</v>
      </c>
      <c r="C151" s="33" t="s">
        <v>65</v>
      </c>
      <c r="D151" s="98">
        <v>46</v>
      </c>
      <c r="E151" s="98"/>
      <c r="F151" s="33" t="s">
        <v>54</v>
      </c>
      <c r="G151" s="33" t="s">
        <v>116</v>
      </c>
      <c r="H151" s="79" t="s">
        <v>55</v>
      </c>
      <c r="I151" s="79" t="s">
        <v>60</v>
      </c>
      <c r="J151" s="39" t="s">
        <v>46</v>
      </c>
      <c r="K151" s="34">
        <v>76.5</v>
      </c>
      <c r="L151" s="35" t="s">
        <v>84</v>
      </c>
      <c r="M151" s="35">
        <v>3</v>
      </c>
      <c r="N151" s="35" t="s">
        <v>84</v>
      </c>
      <c r="O151" s="36">
        <v>0.75</v>
      </c>
      <c r="P151" s="36">
        <v>1</v>
      </c>
      <c r="Q151" s="36"/>
      <c r="R151" s="36"/>
      <c r="S151" s="36"/>
      <c r="T151" s="36"/>
      <c r="U151" s="71">
        <v>1</v>
      </c>
      <c r="V151" s="203"/>
      <c r="W151" s="50">
        <v>1.59375</v>
      </c>
      <c r="X151" s="50">
        <v>1.59375</v>
      </c>
      <c r="Y151" s="81">
        <v>1.59375</v>
      </c>
      <c r="Z151" s="50">
        <v>1.59375</v>
      </c>
      <c r="AA151" s="50">
        <v>0.14806422</v>
      </c>
      <c r="AB151" s="50">
        <v>0.14806422</v>
      </c>
      <c r="AC151" s="64">
        <v>3.13</v>
      </c>
      <c r="AD151" s="64"/>
      <c r="AE151" s="64"/>
      <c r="AF151" s="64"/>
      <c r="AG151" s="44">
        <v>17.303525070300001</v>
      </c>
      <c r="AH151" s="44">
        <v>7.8474036600000003</v>
      </c>
    </row>
    <row r="152" spans="1:34" ht="22.5" customHeight="1">
      <c r="A152" s="89">
        <v>192</v>
      </c>
      <c r="B152" s="105" t="s">
        <v>76</v>
      </c>
      <c r="C152" s="33" t="s">
        <v>65</v>
      </c>
      <c r="D152" s="98">
        <v>46</v>
      </c>
      <c r="E152" s="98"/>
      <c r="F152" s="33" t="s">
        <v>54</v>
      </c>
      <c r="G152" s="33" t="s">
        <v>116</v>
      </c>
      <c r="H152" s="79" t="s">
        <v>56</v>
      </c>
      <c r="I152" s="79" t="s">
        <v>60</v>
      </c>
      <c r="J152" s="39" t="s">
        <v>46</v>
      </c>
      <c r="K152" s="34">
        <v>21.75</v>
      </c>
      <c r="L152" s="38" t="s">
        <v>84</v>
      </c>
      <c r="M152" s="35">
        <v>3</v>
      </c>
      <c r="N152" s="35" t="s">
        <v>84</v>
      </c>
      <c r="O152" s="36">
        <v>0.75</v>
      </c>
      <c r="P152" s="36">
        <v>1</v>
      </c>
      <c r="Q152" s="36"/>
      <c r="R152" s="36"/>
      <c r="S152" s="36"/>
      <c r="T152" s="36"/>
      <c r="U152" s="71">
        <v>1</v>
      </c>
      <c r="V152" s="204"/>
      <c r="W152" s="50">
        <v>0.453125</v>
      </c>
      <c r="X152" s="50">
        <v>0.453125</v>
      </c>
      <c r="Y152" s="81">
        <v>0.453125</v>
      </c>
      <c r="Z152" s="50">
        <v>0.453125</v>
      </c>
      <c r="AA152" s="50">
        <v>4.2096690000000006E-2</v>
      </c>
      <c r="AB152" s="50">
        <v>4.2096690000000006E-2</v>
      </c>
      <c r="AC152" s="64">
        <v>3.13</v>
      </c>
      <c r="AD152" s="64"/>
      <c r="AE152" s="64"/>
      <c r="AF152" s="64"/>
      <c r="AG152" s="44">
        <v>4.9196296768500005</v>
      </c>
      <c r="AH152" s="44">
        <v>2.23112457</v>
      </c>
    </row>
    <row r="153" spans="1:34" ht="22.5" customHeight="1">
      <c r="A153" s="89"/>
      <c r="B153" s="105"/>
      <c r="C153" s="33"/>
      <c r="D153" s="98"/>
      <c r="E153" s="98"/>
      <c r="F153" s="33"/>
      <c r="G153" s="33"/>
      <c r="H153" s="79"/>
      <c r="I153" s="79"/>
      <c r="J153" s="39"/>
      <c r="K153" s="34"/>
      <c r="L153" s="38"/>
      <c r="M153" s="35"/>
      <c r="N153" s="35"/>
      <c r="O153" s="36"/>
      <c r="P153" s="36"/>
      <c r="Q153" s="36"/>
      <c r="R153" s="36"/>
      <c r="S153" s="36"/>
      <c r="T153" s="36"/>
      <c r="U153" s="120">
        <f>SUBTOTAL(9,U127:U152)</f>
        <v>44</v>
      </c>
      <c r="V153" s="139"/>
      <c r="W153" s="129"/>
      <c r="X153" s="129"/>
      <c r="Y153" s="132"/>
      <c r="Z153" s="129"/>
      <c r="AA153" s="129"/>
      <c r="AB153" s="129"/>
      <c r="AC153" s="77"/>
      <c r="AD153" s="64"/>
      <c r="AE153" s="64"/>
      <c r="AF153" s="64"/>
      <c r="AG153" s="131">
        <f>SUBTOTAL(9,AG127:AG152)</f>
        <v>2065.5187717767749</v>
      </c>
      <c r="AH153" s="131">
        <f>SUBTOTAL(9,AH127:AH152)</f>
        <v>936.74320715500016</v>
      </c>
    </row>
    <row r="154" spans="1:34" ht="22.5" customHeight="1">
      <c r="A154" s="89">
        <v>193</v>
      </c>
      <c r="B154" s="105" t="s">
        <v>70</v>
      </c>
      <c r="C154" s="33" t="s">
        <v>43</v>
      </c>
      <c r="D154" s="98">
        <v>2</v>
      </c>
      <c r="E154" s="98"/>
      <c r="F154" s="33" t="s">
        <v>54</v>
      </c>
      <c r="G154" s="33" t="s">
        <v>116</v>
      </c>
      <c r="H154" s="79" t="s">
        <v>61</v>
      </c>
      <c r="I154" s="79" t="s">
        <v>60</v>
      </c>
      <c r="J154" s="39" t="s">
        <v>46</v>
      </c>
      <c r="K154" s="34">
        <v>49.5</v>
      </c>
      <c r="L154" s="38" t="s">
        <v>84</v>
      </c>
      <c r="M154" s="35">
        <v>22.5</v>
      </c>
      <c r="N154" s="35" t="s">
        <v>84</v>
      </c>
      <c r="O154" s="36">
        <v>0.75</v>
      </c>
      <c r="P154" s="36"/>
      <c r="Q154" s="36">
        <v>2</v>
      </c>
      <c r="R154" s="36"/>
      <c r="S154" s="36"/>
      <c r="T154" s="36"/>
      <c r="U154" s="71">
        <v>2</v>
      </c>
      <c r="V154" s="202">
        <v>29</v>
      </c>
      <c r="W154" s="50">
        <v>7.734375</v>
      </c>
      <c r="X154" s="50">
        <v>15.46875</v>
      </c>
      <c r="Y154" s="81">
        <v>7.734375</v>
      </c>
      <c r="Z154" s="50">
        <v>15.46875</v>
      </c>
      <c r="AA154" s="50">
        <v>0.71854695000000002</v>
      </c>
      <c r="AB154" s="50">
        <v>1.4370939</v>
      </c>
      <c r="AC154" s="64">
        <v>3.13</v>
      </c>
      <c r="AD154" s="64"/>
      <c r="AE154" s="64">
        <v>1</v>
      </c>
      <c r="AF154" s="64"/>
      <c r="AG154" s="44">
        <v>167.9459786235</v>
      </c>
      <c r="AH154" s="44">
        <v>76.165976700000002</v>
      </c>
    </row>
    <row r="155" spans="1:34" ht="22.5" customHeight="1">
      <c r="A155" s="89">
        <v>194</v>
      </c>
      <c r="B155" s="105" t="s">
        <v>70</v>
      </c>
      <c r="C155" s="33" t="s">
        <v>43</v>
      </c>
      <c r="D155" s="98">
        <v>2</v>
      </c>
      <c r="E155" s="98"/>
      <c r="F155" s="33" t="s">
        <v>54</v>
      </c>
      <c r="G155" s="33" t="s">
        <v>116</v>
      </c>
      <c r="H155" s="79" t="s">
        <v>55</v>
      </c>
      <c r="I155" s="79" t="s">
        <v>60</v>
      </c>
      <c r="J155" s="39" t="s">
        <v>46</v>
      </c>
      <c r="K155" s="34">
        <v>49.5</v>
      </c>
      <c r="L155" s="35" t="s">
        <v>84</v>
      </c>
      <c r="M155" s="35">
        <v>3</v>
      </c>
      <c r="N155" s="35" t="s">
        <v>84</v>
      </c>
      <c r="O155" s="36">
        <v>0.75</v>
      </c>
      <c r="P155" s="36"/>
      <c r="Q155" s="36">
        <v>2</v>
      </c>
      <c r="R155" s="36"/>
      <c r="S155" s="36"/>
      <c r="T155" s="36"/>
      <c r="U155" s="71">
        <v>2</v>
      </c>
      <c r="V155" s="203"/>
      <c r="W155" s="50">
        <v>1.03125</v>
      </c>
      <c r="X155" s="50">
        <v>2.0625</v>
      </c>
      <c r="Y155" s="81">
        <v>1.03125</v>
      </c>
      <c r="Z155" s="50">
        <v>2.0625</v>
      </c>
      <c r="AA155" s="50">
        <v>9.5806260000000004E-2</v>
      </c>
      <c r="AB155" s="50">
        <v>0.19161252000000001</v>
      </c>
      <c r="AC155" s="64">
        <v>3.13</v>
      </c>
      <c r="AD155" s="64"/>
      <c r="AE155" s="64"/>
      <c r="AF155" s="64"/>
      <c r="AG155" s="44">
        <v>22.3927971498</v>
      </c>
      <c r="AH155" s="44">
        <v>10.155463559999999</v>
      </c>
    </row>
    <row r="156" spans="1:34" ht="22.5" customHeight="1">
      <c r="A156" s="89">
        <v>195</v>
      </c>
      <c r="B156" s="105" t="s">
        <v>70</v>
      </c>
      <c r="C156" s="33" t="s">
        <v>43</v>
      </c>
      <c r="D156" s="98">
        <v>2</v>
      </c>
      <c r="E156" s="98"/>
      <c r="F156" s="33" t="s">
        <v>54</v>
      </c>
      <c r="G156" s="33" t="s">
        <v>116</v>
      </c>
      <c r="H156" s="79" t="s">
        <v>56</v>
      </c>
      <c r="I156" s="79" t="s">
        <v>60</v>
      </c>
      <c r="J156" s="39" t="s">
        <v>46</v>
      </c>
      <c r="K156" s="34">
        <v>21.75</v>
      </c>
      <c r="L156" s="38" t="s">
        <v>84</v>
      </c>
      <c r="M156" s="35">
        <v>3</v>
      </c>
      <c r="N156" s="35" t="s">
        <v>84</v>
      </c>
      <c r="O156" s="36">
        <v>0.75</v>
      </c>
      <c r="P156" s="36"/>
      <c r="Q156" s="36">
        <v>2</v>
      </c>
      <c r="R156" s="36"/>
      <c r="S156" s="36"/>
      <c r="T156" s="36"/>
      <c r="U156" s="71">
        <v>2</v>
      </c>
      <c r="V156" s="203"/>
      <c r="W156" s="50">
        <v>0.453125</v>
      </c>
      <c r="X156" s="50">
        <v>0.90625</v>
      </c>
      <c r="Y156" s="81">
        <v>0.453125</v>
      </c>
      <c r="Z156" s="50">
        <v>0.90625</v>
      </c>
      <c r="AA156" s="50">
        <v>4.2096690000000006E-2</v>
      </c>
      <c r="AB156" s="50">
        <v>8.4193380000000012E-2</v>
      </c>
      <c r="AC156" s="64">
        <v>3.13</v>
      </c>
      <c r="AD156" s="64"/>
      <c r="AE156" s="64"/>
      <c r="AF156" s="64"/>
      <c r="AG156" s="44">
        <v>9.839259353700001</v>
      </c>
      <c r="AH156" s="44">
        <v>4.4622491399999999</v>
      </c>
    </row>
    <row r="157" spans="1:34" ht="22.5" customHeight="1">
      <c r="A157" s="89">
        <v>196</v>
      </c>
      <c r="B157" s="105" t="s">
        <v>70</v>
      </c>
      <c r="C157" s="33" t="s">
        <v>65</v>
      </c>
      <c r="D157" s="98">
        <v>4</v>
      </c>
      <c r="E157" s="98"/>
      <c r="F157" s="33" t="s">
        <v>54</v>
      </c>
      <c r="G157" s="33" t="s">
        <v>116</v>
      </c>
      <c r="H157" s="79" t="s">
        <v>61</v>
      </c>
      <c r="I157" s="79" t="s">
        <v>60</v>
      </c>
      <c r="J157" s="39" t="s">
        <v>46</v>
      </c>
      <c r="K157" s="34">
        <v>49.5</v>
      </c>
      <c r="L157" s="38" t="s">
        <v>84</v>
      </c>
      <c r="M157" s="35">
        <v>22.5</v>
      </c>
      <c r="N157" s="35" t="s">
        <v>84</v>
      </c>
      <c r="O157" s="36">
        <v>0.75</v>
      </c>
      <c r="P157" s="36"/>
      <c r="Q157" s="36">
        <v>2</v>
      </c>
      <c r="R157" s="36"/>
      <c r="S157" s="36"/>
      <c r="T157" s="36"/>
      <c r="U157" s="71">
        <v>2</v>
      </c>
      <c r="V157" s="203"/>
      <c r="W157" s="50">
        <v>7.734375</v>
      </c>
      <c r="X157" s="50">
        <v>15.46875</v>
      </c>
      <c r="Y157" s="81">
        <v>7.734375</v>
      </c>
      <c r="Z157" s="50">
        <v>15.46875</v>
      </c>
      <c r="AA157" s="50">
        <v>0.71854695000000002</v>
      </c>
      <c r="AB157" s="50">
        <v>1.4370939</v>
      </c>
      <c r="AC157" s="64">
        <v>3.13</v>
      </c>
      <c r="AD157" s="64"/>
      <c r="AE157" s="64">
        <v>1</v>
      </c>
      <c r="AF157" s="64"/>
      <c r="AG157" s="44">
        <v>167.9459786235</v>
      </c>
      <c r="AH157" s="44">
        <v>76.165976700000002</v>
      </c>
    </row>
    <row r="158" spans="1:34" ht="22.5" customHeight="1">
      <c r="A158" s="89">
        <v>197</v>
      </c>
      <c r="B158" s="104" t="s">
        <v>70</v>
      </c>
      <c r="C158" s="33" t="s">
        <v>65</v>
      </c>
      <c r="D158" s="98">
        <v>4</v>
      </c>
      <c r="E158" s="98"/>
      <c r="F158" s="33" t="s">
        <v>54</v>
      </c>
      <c r="G158" s="33" t="s">
        <v>116</v>
      </c>
      <c r="H158" s="79" t="s">
        <v>55</v>
      </c>
      <c r="I158" s="79" t="s">
        <v>60</v>
      </c>
      <c r="J158" s="39" t="s">
        <v>46</v>
      </c>
      <c r="K158" s="38">
        <v>49.5</v>
      </c>
      <c r="L158" s="80" t="s">
        <v>84</v>
      </c>
      <c r="M158" s="38">
        <v>3</v>
      </c>
      <c r="N158" s="35" t="s">
        <v>84</v>
      </c>
      <c r="O158" s="36">
        <v>0.75</v>
      </c>
      <c r="P158" s="36"/>
      <c r="Q158" s="36">
        <v>2</v>
      </c>
      <c r="R158" s="36"/>
      <c r="S158" s="36"/>
      <c r="T158" s="36"/>
      <c r="U158" s="71">
        <v>2</v>
      </c>
      <c r="V158" s="203"/>
      <c r="W158" s="50">
        <v>1.03125</v>
      </c>
      <c r="X158" s="50">
        <v>2.0625</v>
      </c>
      <c r="Y158" s="81">
        <v>1.03125</v>
      </c>
      <c r="Z158" s="50">
        <v>2.0625</v>
      </c>
      <c r="AA158" s="50">
        <v>9.5806260000000004E-2</v>
      </c>
      <c r="AB158" s="50">
        <v>0.19161252000000001</v>
      </c>
      <c r="AC158" s="64">
        <v>3.13</v>
      </c>
      <c r="AD158" s="64"/>
      <c r="AE158" s="64"/>
      <c r="AF158" s="64"/>
      <c r="AG158" s="44">
        <v>22.3927971498</v>
      </c>
      <c r="AH158" s="44">
        <v>10.155463559999999</v>
      </c>
    </row>
    <row r="159" spans="1:34" ht="22.5" customHeight="1">
      <c r="A159" s="89">
        <v>198</v>
      </c>
      <c r="B159" s="105" t="s">
        <v>70</v>
      </c>
      <c r="C159" s="33" t="s">
        <v>65</v>
      </c>
      <c r="D159" s="98">
        <v>4</v>
      </c>
      <c r="E159" s="98"/>
      <c r="F159" s="33" t="s">
        <v>54</v>
      </c>
      <c r="G159" s="33" t="s">
        <v>116</v>
      </c>
      <c r="H159" s="79" t="s">
        <v>56</v>
      </c>
      <c r="I159" s="79" t="s">
        <v>60</v>
      </c>
      <c r="J159" s="39" t="s">
        <v>46</v>
      </c>
      <c r="K159" s="34">
        <v>21.75</v>
      </c>
      <c r="L159" s="35" t="s">
        <v>84</v>
      </c>
      <c r="M159" s="35">
        <v>3</v>
      </c>
      <c r="N159" s="35" t="s">
        <v>84</v>
      </c>
      <c r="O159" s="36">
        <v>0.75</v>
      </c>
      <c r="P159" s="36"/>
      <c r="Q159" s="36">
        <v>2</v>
      </c>
      <c r="R159" s="36"/>
      <c r="S159" s="36"/>
      <c r="T159" s="36"/>
      <c r="U159" s="71">
        <v>2</v>
      </c>
      <c r="V159" s="203"/>
      <c r="W159" s="50">
        <v>0.453125</v>
      </c>
      <c r="X159" s="50">
        <v>0.90625</v>
      </c>
      <c r="Y159" s="81">
        <v>0.453125</v>
      </c>
      <c r="Z159" s="50">
        <v>0.90625</v>
      </c>
      <c r="AA159" s="50">
        <v>4.2096690000000006E-2</v>
      </c>
      <c r="AB159" s="50">
        <v>8.4193380000000012E-2</v>
      </c>
      <c r="AC159" s="64">
        <v>3.13</v>
      </c>
      <c r="AD159" s="64"/>
      <c r="AE159" s="64"/>
      <c r="AF159" s="64"/>
      <c r="AG159" s="44">
        <v>9.839259353700001</v>
      </c>
      <c r="AH159" s="44">
        <v>4.4622491399999999</v>
      </c>
    </row>
    <row r="160" spans="1:34" ht="22.5" customHeight="1">
      <c r="A160" s="89">
        <v>199</v>
      </c>
      <c r="B160" s="105" t="s">
        <v>71</v>
      </c>
      <c r="C160" s="33" t="s">
        <v>65</v>
      </c>
      <c r="D160" s="98">
        <v>6</v>
      </c>
      <c r="E160" s="98"/>
      <c r="F160" s="33" t="s">
        <v>54</v>
      </c>
      <c r="G160" s="33" t="s">
        <v>116</v>
      </c>
      <c r="H160" s="79" t="s">
        <v>61</v>
      </c>
      <c r="I160" s="79" t="s">
        <v>60</v>
      </c>
      <c r="J160" s="39" t="s">
        <v>46</v>
      </c>
      <c r="K160" s="34">
        <v>50.125</v>
      </c>
      <c r="L160" s="38" t="s">
        <v>84</v>
      </c>
      <c r="M160" s="35">
        <v>22.5</v>
      </c>
      <c r="N160" s="35" t="s">
        <v>84</v>
      </c>
      <c r="O160" s="36">
        <v>0.75</v>
      </c>
      <c r="P160" s="36"/>
      <c r="Q160" s="36">
        <v>1</v>
      </c>
      <c r="R160" s="36"/>
      <c r="S160" s="36"/>
      <c r="T160" s="36"/>
      <c r="U160" s="71">
        <v>1</v>
      </c>
      <c r="V160" s="203"/>
      <c r="W160" s="50">
        <v>7.83203125</v>
      </c>
      <c r="X160" s="50">
        <v>7.83203125</v>
      </c>
      <c r="Y160" s="81">
        <v>7.83203125</v>
      </c>
      <c r="Z160" s="50">
        <v>7.83203125</v>
      </c>
      <c r="AA160" s="50">
        <v>0.72761951250000001</v>
      </c>
      <c r="AB160" s="50">
        <v>0.72761951250000001</v>
      </c>
      <c r="AC160" s="64">
        <v>3.13</v>
      </c>
      <c r="AD160" s="64"/>
      <c r="AE160" s="64">
        <v>1</v>
      </c>
      <c r="AF160" s="64"/>
      <c r="AG160" s="44">
        <v>85.033254328312509</v>
      </c>
      <c r="AH160" s="44">
        <v>38.563834162500001</v>
      </c>
    </row>
    <row r="161" spans="1:34" ht="22.5" customHeight="1">
      <c r="A161" s="89">
        <v>200</v>
      </c>
      <c r="B161" s="105" t="s">
        <v>71</v>
      </c>
      <c r="C161" s="33" t="s">
        <v>65</v>
      </c>
      <c r="D161" s="98">
        <v>6</v>
      </c>
      <c r="E161" s="98"/>
      <c r="F161" s="33" t="s">
        <v>54</v>
      </c>
      <c r="G161" s="33" t="s">
        <v>116</v>
      </c>
      <c r="H161" s="79" t="s">
        <v>55</v>
      </c>
      <c r="I161" s="79" t="s">
        <v>60</v>
      </c>
      <c r="J161" s="39" t="s">
        <v>46</v>
      </c>
      <c r="K161" s="34">
        <v>50.125</v>
      </c>
      <c r="L161" s="38" t="s">
        <v>84</v>
      </c>
      <c r="M161" s="35">
        <v>3</v>
      </c>
      <c r="N161" s="35" t="s">
        <v>84</v>
      </c>
      <c r="O161" s="36">
        <v>0.75</v>
      </c>
      <c r="P161" s="36"/>
      <c r="Q161" s="36">
        <v>1</v>
      </c>
      <c r="R161" s="36"/>
      <c r="S161" s="36"/>
      <c r="T161" s="36"/>
      <c r="U161" s="71">
        <v>1</v>
      </c>
      <c r="V161" s="203"/>
      <c r="W161" s="50">
        <v>1.0442708333333333</v>
      </c>
      <c r="X161" s="50">
        <v>1.0442708333333333</v>
      </c>
      <c r="Y161" s="81">
        <v>1.0442708333333333</v>
      </c>
      <c r="Z161" s="50">
        <v>1.0442708333333333</v>
      </c>
      <c r="AA161" s="50">
        <v>9.7015934999999998E-2</v>
      </c>
      <c r="AB161" s="50">
        <v>9.7015934999999998E-2</v>
      </c>
      <c r="AC161" s="64">
        <v>3.13</v>
      </c>
      <c r="AD161" s="64"/>
      <c r="AE161" s="64"/>
      <c r="AF161" s="64"/>
      <c r="AG161" s="44">
        <v>11.337767243775</v>
      </c>
      <c r="AH161" s="44">
        <v>5.1418445549999996</v>
      </c>
    </row>
    <row r="162" spans="1:34" ht="22.5" customHeight="1">
      <c r="A162" s="89">
        <v>201</v>
      </c>
      <c r="B162" s="105" t="s">
        <v>71</v>
      </c>
      <c r="C162" s="33" t="s">
        <v>65</v>
      </c>
      <c r="D162" s="98">
        <v>6</v>
      </c>
      <c r="E162" s="98"/>
      <c r="F162" s="33" t="s">
        <v>54</v>
      </c>
      <c r="G162" s="33" t="s">
        <v>116</v>
      </c>
      <c r="H162" s="79" t="s">
        <v>56</v>
      </c>
      <c r="I162" s="79" t="s">
        <v>60</v>
      </c>
      <c r="J162" s="39" t="s">
        <v>46</v>
      </c>
      <c r="K162" s="34">
        <v>21.75</v>
      </c>
      <c r="L162" s="35" t="s">
        <v>84</v>
      </c>
      <c r="M162" s="35">
        <v>3</v>
      </c>
      <c r="N162" s="35" t="s">
        <v>84</v>
      </c>
      <c r="O162" s="36">
        <v>0.75</v>
      </c>
      <c r="P162" s="36"/>
      <c r="Q162" s="36">
        <v>1</v>
      </c>
      <c r="R162" s="36"/>
      <c r="S162" s="36"/>
      <c r="T162" s="36"/>
      <c r="U162" s="71">
        <v>1</v>
      </c>
      <c r="V162" s="203"/>
      <c r="W162" s="50">
        <v>0.453125</v>
      </c>
      <c r="X162" s="50">
        <v>0.453125</v>
      </c>
      <c r="Y162" s="81">
        <v>0.453125</v>
      </c>
      <c r="Z162" s="50">
        <v>0.453125</v>
      </c>
      <c r="AA162" s="50">
        <v>4.2096690000000006E-2</v>
      </c>
      <c r="AB162" s="50">
        <v>4.2096690000000006E-2</v>
      </c>
      <c r="AC162" s="64">
        <v>3.13</v>
      </c>
      <c r="AD162" s="64"/>
      <c r="AE162" s="64"/>
      <c r="AF162" s="64"/>
      <c r="AG162" s="44">
        <v>4.9196296768500005</v>
      </c>
      <c r="AH162" s="44">
        <v>2.23112457</v>
      </c>
    </row>
    <row r="163" spans="1:34" ht="22.5" customHeight="1">
      <c r="A163" s="89">
        <v>202</v>
      </c>
      <c r="B163" s="105" t="s">
        <v>72</v>
      </c>
      <c r="C163" s="33" t="s">
        <v>43</v>
      </c>
      <c r="D163" s="98">
        <v>8</v>
      </c>
      <c r="E163" s="98"/>
      <c r="F163" s="33" t="s">
        <v>54</v>
      </c>
      <c r="G163" s="33" t="s">
        <v>116</v>
      </c>
      <c r="H163" s="79" t="s">
        <v>61</v>
      </c>
      <c r="I163" s="79" t="s">
        <v>60</v>
      </c>
      <c r="J163" s="39" t="s">
        <v>46</v>
      </c>
      <c r="K163" s="34">
        <v>49.5</v>
      </c>
      <c r="L163" s="38" t="s">
        <v>84</v>
      </c>
      <c r="M163" s="35">
        <v>22.5</v>
      </c>
      <c r="N163" s="35" t="s">
        <v>84</v>
      </c>
      <c r="O163" s="36">
        <v>0.75</v>
      </c>
      <c r="P163" s="36"/>
      <c r="Q163" s="36">
        <v>3</v>
      </c>
      <c r="R163" s="36"/>
      <c r="S163" s="36"/>
      <c r="T163" s="36"/>
      <c r="U163" s="71">
        <v>3</v>
      </c>
      <c r="V163" s="203"/>
      <c r="W163" s="50">
        <v>7.734375</v>
      </c>
      <c r="X163" s="50">
        <v>23.203125</v>
      </c>
      <c r="Y163" s="81">
        <v>7.734375</v>
      </c>
      <c r="Z163" s="50">
        <v>23.203125</v>
      </c>
      <c r="AA163" s="50">
        <v>0.71854695000000002</v>
      </c>
      <c r="AB163" s="50">
        <v>2.1556408500000002</v>
      </c>
      <c r="AC163" s="64">
        <v>3.13</v>
      </c>
      <c r="AD163" s="64"/>
      <c r="AE163" s="64">
        <v>1</v>
      </c>
      <c r="AF163" s="64"/>
      <c r="AG163" s="44">
        <v>251.91896793525004</v>
      </c>
      <c r="AH163" s="44">
        <v>114.24896505000001</v>
      </c>
    </row>
    <row r="164" spans="1:34" ht="22.5" customHeight="1">
      <c r="A164" s="89">
        <v>203</v>
      </c>
      <c r="B164" s="105" t="s">
        <v>72</v>
      </c>
      <c r="C164" s="33" t="s">
        <v>43</v>
      </c>
      <c r="D164" s="98">
        <v>8</v>
      </c>
      <c r="E164" s="98"/>
      <c r="F164" s="33" t="s">
        <v>54</v>
      </c>
      <c r="G164" s="33" t="s">
        <v>116</v>
      </c>
      <c r="H164" s="79" t="s">
        <v>55</v>
      </c>
      <c r="I164" s="79" t="s">
        <v>60</v>
      </c>
      <c r="J164" s="39" t="s">
        <v>46</v>
      </c>
      <c r="K164" s="34">
        <v>49.5</v>
      </c>
      <c r="L164" s="38" t="s">
        <v>84</v>
      </c>
      <c r="M164" s="35">
        <v>3</v>
      </c>
      <c r="N164" s="35" t="s">
        <v>84</v>
      </c>
      <c r="O164" s="36">
        <v>0.75</v>
      </c>
      <c r="P164" s="36"/>
      <c r="Q164" s="36">
        <v>3</v>
      </c>
      <c r="R164" s="36"/>
      <c r="S164" s="36"/>
      <c r="T164" s="36"/>
      <c r="U164" s="71">
        <v>3</v>
      </c>
      <c r="V164" s="203"/>
      <c r="W164" s="50">
        <v>1.03125</v>
      </c>
      <c r="X164" s="50">
        <v>3.09375</v>
      </c>
      <c r="Y164" s="81">
        <v>1.03125</v>
      </c>
      <c r="Z164" s="50">
        <v>3.09375</v>
      </c>
      <c r="AA164" s="50">
        <v>9.5806260000000004E-2</v>
      </c>
      <c r="AB164" s="50">
        <v>0.28741877999999998</v>
      </c>
      <c r="AC164" s="64">
        <v>3.13</v>
      </c>
      <c r="AD164" s="64"/>
      <c r="AE164" s="64"/>
      <c r="AF164" s="64"/>
      <c r="AG164" s="44">
        <v>33.589195724699998</v>
      </c>
      <c r="AH164" s="44">
        <v>15.233195339999998</v>
      </c>
    </row>
    <row r="165" spans="1:34" ht="22.5" customHeight="1">
      <c r="A165" s="89">
        <v>204</v>
      </c>
      <c r="B165" s="104" t="s">
        <v>72</v>
      </c>
      <c r="C165" s="33" t="s">
        <v>43</v>
      </c>
      <c r="D165" s="98">
        <v>8</v>
      </c>
      <c r="E165" s="98"/>
      <c r="F165" s="33" t="s">
        <v>54</v>
      </c>
      <c r="G165" s="33" t="s">
        <v>116</v>
      </c>
      <c r="H165" s="79" t="s">
        <v>56</v>
      </c>
      <c r="I165" s="79" t="s">
        <v>60</v>
      </c>
      <c r="J165" s="39" t="s">
        <v>46</v>
      </c>
      <c r="K165" s="38">
        <v>21.75</v>
      </c>
      <c r="L165" s="80" t="s">
        <v>84</v>
      </c>
      <c r="M165" s="38">
        <v>3</v>
      </c>
      <c r="N165" s="35" t="s">
        <v>84</v>
      </c>
      <c r="O165" s="36">
        <v>0.75</v>
      </c>
      <c r="P165" s="36"/>
      <c r="Q165" s="36">
        <v>3</v>
      </c>
      <c r="R165" s="36"/>
      <c r="S165" s="36"/>
      <c r="T165" s="36"/>
      <c r="U165" s="71">
        <v>3</v>
      </c>
      <c r="V165" s="203"/>
      <c r="W165" s="50">
        <v>0.453125</v>
      </c>
      <c r="X165" s="50">
        <v>1.359375</v>
      </c>
      <c r="Y165" s="81">
        <v>0.453125</v>
      </c>
      <c r="Z165" s="50">
        <v>1.359375</v>
      </c>
      <c r="AA165" s="50">
        <v>4.2096690000000006E-2</v>
      </c>
      <c r="AB165" s="50">
        <v>0.12629007000000003</v>
      </c>
      <c r="AC165" s="64">
        <v>3.13</v>
      </c>
      <c r="AD165" s="64"/>
      <c r="AE165" s="64"/>
      <c r="AF165" s="64"/>
      <c r="AG165" s="44">
        <v>14.758889030550003</v>
      </c>
      <c r="AH165" s="44">
        <v>6.6933737100000013</v>
      </c>
    </row>
    <row r="166" spans="1:34" ht="22.5" customHeight="1">
      <c r="A166" s="89">
        <v>205</v>
      </c>
      <c r="B166" s="105" t="s">
        <v>72</v>
      </c>
      <c r="C166" s="33" t="s">
        <v>43</v>
      </c>
      <c r="D166" s="98">
        <v>9</v>
      </c>
      <c r="E166" s="98"/>
      <c r="F166" s="33" t="s">
        <v>54</v>
      </c>
      <c r="G166" s="33" t="s">
        <v>116</v>
      </c>
      <c r="H166" s="79" t="s">
        <v>77</v>
      </c>
      <c r="I166" s="79" t="s">
        <v>77</v>
      </c>
      <c r="J166" s="39" t="s">
        <v>46</v>
      </c>
      <c r="K166" s="34">
        <v>43.75</v>
      </c>
      <c r="L166" s="35" t="s">
        <v>84</v>
      </c>
      <c r="M166" s="35">
        <v>25.5</v>
      </c>
      <c r="N166" s="35" t="s">
        <v>84</v>
      </c>
      <c r="O166" s="36">
        <v>0.75</v>
      </c>
      <c r="P166" s="36"/>
      <c r="Q166" s="36">
        <v>3</v>
      </c>
      <c r="R166" s="36"/>
      <c r="S166" s="36"/>
      <c r="T166" s="36"/>
      <c r="U166" s="71">
        <v>3</v>
      </c>
      <c r="V166" s="203"/>
      <c r="W166" s="50">
        <v>7.747395833333333</v>
      </c>
      <c r="X166" s="50">
        <v>23.2421875</v>
      </c>
      <c r="Y166" s="81">
        <v>7.747395833333333</v>
      </c>
      <c r="Z166" s="50">
        <v>23.2421875</v>
      </c>
      <c r="AA166" s="50">
        <v>0.71975662500000004</v>
      </c>
      <c r="AB166" s="50">
        <v>2.1592698750000001</v>
      </c>
      <c r="AC166" s="64">
        <v>3.13</v>
      </c>
      <c r="AD166" s="64"/>
      <c r="AE166" s="64"/>
      <c r="AF166" s="64"/>
      <c r="AG166" s="44">
        <v>252.34307394187505</v>
      </c>
      <c r="AH166" s="44">
        <v>114.44130337500002</v>
      </c>
    </row>
    <row r="167" spans="1:34" ht="22.5" customHeight="1">
      <c r="A167" s="89">
        <v>206</v>
      </c>
      <c r="B167" s="105" t="s">
        <v>72</v>
      </c>
      <c r="C167" s="33" t="s">
        <v>65</v>
      </c>
      <c r="D167" s="98">
        <v>11</v>
      </c>
      <c r="E167" s="98"/>
      <c r="F167" s="33" t="s">
        <v>54</v>
      </c>
      <c r="G167" s="33" t="s">
        <v>116</v>
      </c>
      <c r="H167" s="79" t="s">
        <v>61</v>
      </c>
      <c r="I167" s="79" t="s">
        <v>60</v>
      </c>
      <c r="J167" s="39" t="s">
        <v>46</v>
      </c>
      <c r="K167" s="34">
        <v>49.5</v>
      </c>
      <c r="L167" s="38" t="s">
        <v>84</v>
      </c>
      <c r="M167" s="35">
        <v>22.5</v>
      </c>
      <c r="N167" s="35" t="s">
        <v>84</v>
      </c>
      <c r="O167" s="36">
        <v>0.75</v>
      </c>
      <c r="P167" s="36"/>
      <c r="Q167" s="36">
        <v>3</v>
      </c>
      <c r="R167" s="36"/>
      <c r="S167" s="36"/>
      <c r="T167" s="36"/>
      <c r="U167" s="71">
        <v>3</v>
      </c>
      <c r="V167" s="203"/>
      <c r="W167" s="50">
        <v>7.734375</v>
      </c>
      <c r="X167" s="50">
        <v>23.203125</v>
      </c>
      <c r="Y167" s="81">
        <v>7.734375</v>
      </c>
      <c r="Z167" s="50">
        <v>23.203125</v>
      </c>
      <c r="AA167" s="50">
        <v>0.71854695000000002</v>
      </c>
      <c r="AB167" s="50">
        <v>2.1556408500000002</v>
      </c>
      <c r="AC167" s="64">
        <v>3.13</v>
      </c>
      <c r="AD167" s="64"/>
      <c r="AE167" s="64">
        <v>1</v>
      </c>
      <c r="AF167" s="64"/>
      <c r="AG167" s="44">
        <v>251.91896793525004</v>
      </c>
      <c r="AH167" s="44">
        <v>114.24896505000001</v>
      </c>
    </row>
    <row r="168" spans="1:34" ht="22.5" customHeight="1">
      <c r="A168" s="89">
        <v>207</v>
      </c>
      <c r="B168" s="105" t="s">
        <v>72</v>
      </c>
      <c r="C168" s="33" t="s">
        <v>65</v>
      </c>
      <c r="D168" s="98">
        <v>11</v>
      </c>
      <c r="E168" s="98"/>
      <c r="F168" s="33" t="s">
        <v>54</v>
      </c>
      <c r="G168" s="33" t="s">
        <v>116</v>
      </c>
      <c r="H168" s="79" t="s">
        <v>55</v>
      </c>
      <c r="I168" s="79" t="s">
        <v>60</v>
      </c>
      <c r="J168" s="39" t="s">
        <v>46</v>
      </c>
      <c r="K168" s="34">
        <v>49.5</v>
      </c>
      <c r="L168" s="38" t="s">
        <v>84</v>
      </c>
      <c r="M168" s="35">
        <v>3</v>
      </c>
      <c r="N168" s="35" t="s">
        <v>84</v>
      </c>
      <c r="O168" s="36">
        <v>0.75</v>
      </c>
      <c r="P168" s="36"/>
      <c r="Q168" s="36">
        <v>3</v>
      </c>
      <c r="R168" s="36"/>
      <c r="S168" s="36"/>
      <c r="T168" s="36"/>
      <c r="U168" s="71">
        <v>3</v>
      </c>
      <c r="V168" s="203"/>
      <c r="W168" s="50">
        <v>1.03125</v>
      </c>
      <c r="X168" s="50">
        <v>3.09375</v>
      </c>
      <c r="Y168" s="81">
        <v>1.03125</v>
      </c>
      <c r="Z168" s="50">
        <v>3.09375</v>
      </c>
      <c r="AA168" s="50">
        <v>9.5806260000000004E-2</v>
      </c>
      <c r="AB168" s="50">
        <v>0.28741877999999998</v>
      </c>
      <c r="AC168" s="64">
        <v>3.13</v>
      </c>
      <c r="AD168" s="64"/>
      <c r="AE168" s="64"/>
      <c r="AF168" s="64"/>
      <c r="AG168" s="44">
        <v>33.589195724699998</v>
      </c>
      <c r="AH168" s="44">
        <v>15.233195339999998</v>
      </c>
    </row>
    <row r="169" spans="1:34" ht="22.5" customHeight="1">
      <c r="A169" s="89">
        <v>208</v>
      </c>
      <c r="B169" s="105" t="s">
        <v>72</v>
      </c>
      <c r="C169" s="33" t="s">
        <v>65</v>
      </c>
      <c r="D169" s="98">
        <v>11</v>
      </c>
      <c r="E169" s="98"/>
      <c r="F169" s="33" t="s">
        <v>54</v>
      </c>
      <c r="G169" s="33" t="s">
        <v>116</v>
      </c>
      <c r="H169" s="79" t="s">
        <v>56</v>
      </c>
      <c r="I169" s="79" t="s">
        <v>60</v>
      </c>
      <c r="J169" s="39" t="s">
        <v>46</v>
      </c>
      <c r="K169" s="34">
        <v>21.75</v>
      </c>
      <c r="L169" s="35" t="s">
        <v>84</v>
      </c>
      <c r="M169" s="35">
        <v>3</v>
      </c>
      <c r="N169" s="35" t="s">
        <v>84</v>
      </c>
      <c r="O169" s="36">
        <v>0.75</v>
      </c>
      <c r="P169" s="36"/>
      <c r="Q169" s="36">
        <v>3</v>
      </c>
      <c r="R169" s="36"/>
      <c r="S169" s="36"/>
      <c r="T169" s="36"/>
      <c r="U169" s="71">
        <v>3</v>
      </c>
      <c r="V169" s="203"/>
      <c r="W169" s="50">
        <v>0.453125</v>
      </c>
      <c r="X169" s="50">
        <v>1.359375</v>
      </c>
      <c r="Y169" s="81">
        <v>0.453125</v>
      </c>
      <c r="Z169" s="50">
        <v>1.359375</v>
      </c>
      <c r="AA169" s="50">
        <v>4.2096690000000006E-2</v>
      </c>
      <c r="AB169" s="50">
        <v>0.12629007000000003</v>
      </c>
      <c r="AC169" s="64">
        <v>3.13</v>
      </c>
      <c r="AD169" s="64"/>
      <c r="AE169" s="64"/>
      <c r="AF169" s="64"/>
      <c r="AG169" s="44">
        <v>14.758889030550003</v>
      </c>
      <c r="AH169" s="44">
        <v>6.6933737100000013</v>
      </c>
    </row>
    <row r="170" spans="1:34" ht="22.5" customHeight="1">
      <c r="A170" s="89">
        <v>209</v>
      </c>
      <c r="B170" s="105" t="s">
        <v>72</v>
      </c>
      <c r="C170" s="33" t="s">
        <v>65</v>
      </c>
      <c r="D170" s="98">
        <v>12</v>
      </c>
      <c r="E170" s="98"/>
      <c r="F170" s="33" t="s">
        <v>54</v>
      </c>
      <c r="G170" s="33" t="s">
        <v>116</v>
      </c>
      <c r="H170" s="79" t="s">
        <v>77</v>
      </c>
      <c r="I170" s="79" t="s">
        <v>77</v>
      </c>
      <c r="J170" s="39" t="s">
        <v>46</v>
      </c>
      <c r="K170" s="34">
        <v>43.75</v>
      </c>
      <c r="L170" s="38" t="s">
        <v>84</v>
      </c>
      <c r="M170" s="35">
        <v>25.5</v>
      </c>
      <c r="N170" s="35" t="s">
        <v>84</v>
      </c>
      <c r="O170" s="36">
        <v>0.75</v>
      </c>
      <c r="P170" s="36"/>
      <c r="Q170" s="36">
        <v>3</v>
      </c>
      <c r="R170" s="36"/>
      <c r="S170" s="36"/>
      <c r="T170" s="36"/>
      <c r="U170" s="71">
        <v>3</v>
      </c>
      <c r="V170" s="204"/>
      <c r="W170" s="50">
        <v>7.747395833333333</v>
      </c>
      <c r="X170" s="50">
        <v>23.2421875</v>
      </c>
      <c r="Y170" s="81">
        <v>7.747395833333333</v>
      </c>
      <c r="Z170" s="50">
        <v>23.2421875</v>
      </c>
      <c r="AA170" s="50">
        <v>0.71975662500000004</v>
      </c>
      <c r="AB170" s="50">
        <v>2.1592698750000001</v>
      </c>
      <c r="AC170" s="64">
        <v>3.13</v>
      </c>
      <c r="AD170" s="64"/>
      <c r="AE170" s="64"/>
      <c r="AF170" s="64"/>
      <c r="AG170" s="44">
        <v>252.34307394187505</v>
      </c>
      <c r="AH170" s="44">
        <v>114.44130337500002</v>
      </c>
    </row>
    <row r="171" spans="1:34" ht="22.5" customHeight="1">
      <c r="A171" s="89"/>
      <c r="B171" s="105"/>
      <c r="C171" s="33"/>
      <c r="D171" s="98"/>
      <c r="E171" s="98"/>
      <c r="F171" s="33"/>
      <c r="G171" s="33"/>
      <c r="H171" s="79"/>
      <c r="I171" s="79"/>
      <c r="J171" s="39"/>
      <c r="K171" s="34"/>
      <c r="L171" s="38"/>
      <c r="M171" s="35"/>
      <c r="N171" s="35"/>
      <c r="O171" s="36"/>
      <c r="P171" s="36"/>
      <c r="Q171" s="36"/>
      <c r="R171" s="36"/>
      <c r="S171" s="36"/>
      <c r="T171" s="36"/>
      <c r="U171" s="120">
        <f>SUBTOTAL(9,U154:U170)</f>
        <v>39</v>
      </c>
      <c r="V171" s="139"/>
      <c r="W171" s="129"/>
      <c r="X171" s="129"/>
      <c r="Y171" s="132"/>
      <c r="Z171" s="129"/>
      <c r="AA171" s="129"/>
      <c r="AB171" s="129"/>
      <c r="AC171" s="77"/>
      <c r="AD171" s="64"/>
      <c r="AE171" s="64"/>
      <c r="AF171" s="64"/>
      <c r="AG171" s="131">
        <f>SUBTOTAL(9,AG154:AG170)</f>
        <v>1606.8669747676877</v>
      </c>
      <c r="AH171" s="131">
        <f>SUBTOTAL(9,AH154:AH170)</f>
        <v>728.73785703749991</v>
      </c>
    </row>
    <row r="172" spans="1:34" ht="22.5" customHeight="1">
      <c r="A172" s="89">
        <v>210</v>
      </c>
      <c r="B172" s="105" t="s">
        <v>73</v>
      </c>
      <c r="C172" s="33" t="s">
        <v>43</v>
      </c>
      <c r="D172" s="98">
        <v>14</v>
      </c>
      <c r="E172" s="98"/>
      <c r="F172" s="33" t="s">
        <v>54</v>
      </c>
      <c r="G172" s="33" t="s">
        <v>116</v>
      </c>
      <c r="H172" s="103" t="s">
        <v>61</v>
      </c>
      <c r="I172" s="79" t="s">
        <v>60</v>
      </c>
      <c r="J172" s="39" t="s">
        <v>46</v>
      </c>
      <c r="K172" s="34">
        <v>79.5</v>
      </c>
      <c r="L172" s="38" t="s">
        <v>84</v>
      </c>
      <c r="M172" s="35">
        <v>22.5</v>
      </c>
      <c r="N172" s="35" t="s">
        <v>84</v>
      </c>
      <c r="O172" s="36">
        <v>0.75</v>
      </c>
      <c r="P172" s="36"/>
      <c r="Q172" s="36">
        <v>1</v>
      </c>
      <c r="R172" s="36"/>
      <c r="S172" s="36"/>
      <c r="T172" s="36"/>
      <c r="U172" s="71">
        <v>1</v>
      </c>
      <c r="V172" s="202">
        <v>30</v>
      </c>
      <c r="W172" s="50">
        <v>12.421875</v>
      </c>
      <c r="X172" s="50">
        <v>12.421875</v>
      </c>
      <c r="Y172" s="81">
        <v>12.421875</v>
      </c>
      <c r="Z172" s="50">
        <v>12.421875</v>
      </c>
      <c r="AA172" s="50">
        <v>1.15402995</v>
      </c>
      <c r="AB172" s="50">
        <v>1.15402995</v>
      </c>
      <c r="AC172" s="64">
        <v>3.13</v>
      </c>
      <c r="AD172" s="64">
        <v>3</v>
      </c>
      <c r="AE172" s="64">
        <v>2</v>
      </c>
      <c r="AF172" s="64">
        <v>10</v>
      </c>
      <c r="AG172" s="44">
        <v>134.86571010675002</v>
      </c>
      <c r="AH172" s="44">
        <v>61.16358735</v>
      </c>
    </row>
    <row r="173" spans="1:34" ht="22.5" customHeight="1">
      <c r="A173" s="89">
        <v>211</v>
      </c>
      <c r="B173" s="104" t="s">
        <v>73</v>
      </c>
      <c r="C173" s="33" t="s">
        <v>43</v>
      </c>
      <c r="D173" s="98">
        <v>14</v>
      </c>
      <c r="E173" s="98"/>
      <c r="F173" s="33" t="s">
        <v>54</v>
      </c>
      <c r="G173" s="33" t="s">
        <v>116</v>
      </c>
      <c r="H173" s="79" t="s">
        <v>55</v>
      </c>
      <c r="I173" s="79" t="s">
        <v>60</v>
      </c>
      <c r="J173" s="39" t="s">
        <v>46</v>
      </c>
      <c r="K173" s="38">
        <v>79.5</v>
      </c>
      <c r="L173" s="80" t="s">
        <v>84</v>
      </c>
      <c r="M173" s="38">
        <v>3</v>
      </c>
      <c r="N173" s="35" t="s">
        <v>84</v>
      </c>
      <c r="O173" s="36">
        <v>0.75</v>
      </c>
      <c r="P173" s="36"/>
      <c r="Q173" s="36">
        <v>1</v>
      </c>
      <c r="R173" s="36"/>
      <c r="S173" s="36"/>
      <c r="T173" s="36"/>
      <c r="U173" s="71">
        <v>1</v>
      </c>
      <c r="V173" s="203"/>
      <c r="W173" s="50">
        <v>1.65625</v>
      </c>
      <c r="X173" s="50">
        <v>1.65625</v>
      </c>
      <c r="Y173" s="81">
        <v>1.65625</v>
      </c>
      <c r="Z173" s="50">
        <v>1.65625</v>
      </c>
      <c r="AA173" s="50">
        <v>0.15387066000000002</v>
      </c>
      <c r="AB173" s="50">
        <v>0.15387066000000002</v>
      </c>
      <c r="AC173" s="64">
        <v>3.13</v>
      </c>
      <c r="AD173" s="64"/>
      <c r="AE173" s="64"/>
      <c r="AF173" s="64"/>
      <c r="AG173" s="44">
        <v>17.982094680900001</v>
      </c>
      <c r="AH173" s="44">
        <v>8.1551449800000011</v>
      </c>
    </row>
    <row r="174" spans="1:34" ht="22.5" customHeight="1">
      <c r="A174" s="89">
        <v>212</v>
      </c>
      <c r="B174" s="105" t="s">
        <v>73</v>
      </c>
      <c r="C174" s="33" t="s">
        <v>43</v>
      </c>
      <c r="D174" s="98">
        <v>14</v>
      </c>
      <c r="E174" s="98"/>
      <c r="F174" s="33" t="s">
        <v>54</v>
      </c>
      <c r="G174" s="33" t="s">
        <v>116</v>
      </c>
      <c r="H174" s="79" t="s">
        <v>56</v>
      </c>
      <c r="I174" s="79" t="s">
        <v>60</v>
      </c>
      <c r="J174" s="39" t="s">
        <v>46</v>
      </c>
      <c r="K174" s="34">
        <v>21.75</v>
      </c>
      <c r="L174" s="35" t="s">
        <v>84</v>
      </c>
      <c r="M174" s="35">
        <v>3</v>
      </c>
      <c r="N174" s="35" t="s">
        <v>84</v>
      </c>
      <c r="O174" s="36">
        <v>0.75</v>
      </c>
      <c r="P174" s="36"/>
      <c r="Q174" s="36">
        <v>1</v>
      </c>
      <c r="R174" s="36"/>
      <c r="S174" s="36"/>
      <c r="T174" s="36"/>
      <c r="U174" s="71">
        <v>1</v>
      </c>
      <c r="V174" s="203"/>
      <c r="W174" s="50">
        <v>0.453125</v>
      </c>
      <c r="X174" s="50">
        <v>0.453125</v>
      </c>
      <c r="Y174" s="81">
        <v>0.453125</v>
      </c>
      <c r="Z174" s="50">
        <v>0.453125</v>
      </c>
      <c r="AA174" s="50">
        <v>4.2096690000000006E-2</v>
      </c>
      <c r="AB174" s="50">
        <v>4.2096690000000006E-2</v>
      </c>
      <c r="AC174" s="64">
        <v>3.13</v>
      </c>
      <c r="AD174" s="64"/>
      <c r="AE174" s="64"/>
      <c r="AF174" s="64"/>
      <c r="AG174" s="44">
        <v>4.9196296768500005</v>
      </c>
      <c r="AH174" s="44">
        <v>2.23112457</v>
      </c>
    </row>
    <row r="175" spans="1:34" ht="22.5" customHeight="1">
      <c r="A175" s="89">
        <v>213</v>
      </c>
      <c r="B175" s="105" t="s">
        <v>73</v>
      </c>
      <c r="C175" s="33" t="s">
        <v>43</v>
      </c>
      <c r="D175" s="98">
        <v>15</v>
      </c>
      <c r="E175" s="98"/>
      <c r="F175" s="33" t="s">
        <v>54</v>
      </c>
      <c r="G175" s="33" t="s">
        <v>116</v>
      </c>
      <c r="H175" s="79" t="s">
        <v>78</v>
      </c>
      <c r="I175" s="79" t="s">
        <v>78</v>
      </c>
      <c r="J175" s="39" t="s">
        <v>46</v>
      </c>
      <c r="K175" s="34">
        <v>41.5</v>
      </c>
      <c r="L175" s="38" t="s">
        <v>84</v>
      </c>
      <c r="M175" s="35">
        <v>8.75</v>
      </c>
      <c r="N175" s="35" t="s">
        <v>84</v>
      </c>
      <c r="O175" s="36">
        <v>0.75</v>
      </c>
      <c r="P175" s="36"/>
      <c r="Q175" s="36">
        <v>1</v>
      </c>
      <c r="R175" s="36"/>
      <c r="S175" s="36"/>
      <c r="T175" s="36"/>
      <c r="U175" s="71">
        <v>1</v>
      </c>
      <c r="V175" s="203"/>
      <c r="W175" s="50">
        <v>2.5217013888888888</v>
      </c>
      <c r="X175" s="50">
        <v>2.5217013888888888</v>
      </c>
      <c r="Y175" s="81">
        <v>2.5217013888888888</v>
      </c>
      <c r="Z175" s="50">
        <v>2.5217013888888888</v>
      </c>
      <c r="AA175" s="50">
        <v>0.23427372500000002</v>
      </c>
      <c r="AB175" s="50">
        <v>0.23427372500000002</v>
      </c>
      <c r="AC175" s="64">
        <v>3.13</v>
      </c>
      <c r="AD175" s="64"/>
      <c r="AE175" s="64"/>
      <c r="AF175" s="64"/>
      <c r="AG175" s="44">
        <v>27.378398872125004</v>
      </c>
      <c r="AH175" s="44">
        <v>12.416507425000001</v>
      </c>
    </row>
    <row r="176" spans="1:34" ht="22.5" customHeight="1">
      <c r="A176" s="89">
        <v>214</v>
      </c>
      <c r="B176" s="105" t="s">
        <v>73</v>
      </c>
      <c r="C176" s="33" t="s">
        <v>65</v>
      </c>
      <c r="D176" s="98">
        <v>17</v>
      </c>
      <c r="E176" s="98"/>
      <c r="F176" s="33" t="s">
        <v>54</v>
      </c>
      <c r="G176" s="33" t="s">
        <v>116</v>
      </c>
      <c r="H176" s="103" t="s">
        <v>61</v>
      </c>
      <c r="I176" s="79" t="s">
        <v>60</v>
      </c>
      <c r="J176" s="39" t="s">
        <v>46</v>
      </c>
      <c r="K176" s="34">
        <v>79.5</v>
      </c>
      <c r="L176" s="38" t="s">
        <v>84</v>
      </c>
      <c r="M176" s="35">
        <v>22.5</v>
      </c>
      <c r="N176" s="35" t="s">
        <v>84</v>
      </c>
      <c r="O176" s="36">
        <v>0.75</v>
      </c>
      <c r="P176" s="36"/>
      <c r="Q176" s="36">
        <v>4</v>
      </c>
      <c r="R176" s="36"/>
      <c r="S176" s="36"/>
      <c r="T176" s="36"/>
      <c r="U176" s="71">
        <v>4</v>
      </c>
      <c r="V176" s="203"/>
      <c r="W176" s="50">
        <v>12.421875</v>
      </c>
      <c r="X176" s="50">
        <v>49.6875</v>
      </c>
      <c r="Y176" s="81">
        <v>12.421875</v>
      </c>
      <c r="Z176" s="50">
        <v>49.6875</v>
      </c>
      <c r="AA176" s="50">
        <v>1.15402995</v>
      </c>
      <c r="AB176" s="50">
        <v>4.6161197999999999</v>
      </c>
      <c r="AC176" s="64">
        <v>3.13</v>
      </c>
      <c r="AD176" s="64">
        <v>3</v>
      </c>
      <c r="AE176" s="64">
        <v>2</v>
      </c>
      <c r="AF176" s="64">
        <v>10</v>
      </c>
      <c r="AG176" s="44">
        <v>539.46284042700006</v>
      </c>
      <c r="AH176" s="44">
        <v>244.6543494</v>
      </c>
    </row>
    <row r="177" spans="1:34" ht="22.5" customHeight="1">
      <c r="A177" s="89">
        <v>215</v>
      </c>
      <c r="B177" s="105" t="s">
        <v>73</v>
      </c>
      <c r="C177" s="33" t="s">
        <v>65</v>
      </c>
      <c r="D177" s="98">
        <v>17</v>
      </c>
      <c r="E177" s="98"/>
      <c r="F177" s="33" t="s">
        <v>54</v>
      </c>
      <c r="G177" s="33" t="s">
        <v>116</v>
      </c>
      <c r="H177" s="79" t="s">
        <v>55</v>
      </c>
      <c r="I177" s="79" t="s">
        <v>60</v>
      </c>
      <c r="J177" s="39" t="s">
        <v>46</v>
      </c>
      <c r="K177" s="34">
        <v>79.5</v>
      </c>
      <c r="L177" s="35" t="s">
        <v>84</v>
      </c>
      <c r="M177" s="35">
        <v>3</v>
      </c>
      <c r="N177" s="35" t="s">
        <v>84</v>
      </c>
      <c r="O177" s="36">
        <v>0.75</v>
      </c>
      <c r="P177" s="36"/>
      <c r="Q177" s="36">
        <v>4</v>
      </c>
      <c r="R177" s="36"/>
      <c r="S177" s="36"/>
      <c r="T177" s="36"/>
      <c r="U177" s="71">
        <v>4</v>
      </c>
      <c r="V177" s="203"/>
      <c r="W177" s="50">
        <v>1.65625</v>
      </c>
      <c r="X177" s="50">
        <v>6.625</v>
      </c>
      <c r="Y177" s="81">
        <v>1.65625</v>
      </c>
      <c r="Z177" s="50">
        <v>6.625</v>
      </c>
      <c r="AA177" s="50">
        <v>0.15387066000000002</v>
      </c>
      <c r="AB177" s="50">
        <v>0.61548264000000008</v>
      </c>
      <c r="AC177" s="64">
        <v>3.13</v>
      </c>
      <c r="AD177" s="64"/>
      <c r="AE177" s="64"/>
      <c r="AF177" s="64"/>
      <c r="AG177" s="44">
        <v>71.928378723600005</v>
      </c>
      <c r="AH177" s="44">
        <v>32.620579920000004</v>
      </c>
    </row>
    <row r="178" spans="1:34" ht="22.5" customHeight="1">
      <c r="A178" s="89">
        <v>216</v>
      </c>
      <c r="B178" s="105" t="s">
        <v>73</v>
      </c>
      <c r="C178" s="33" t="s">
        <v>65</v>
      </c>
      <c r="D178" s="98">
        <v>17</v>
      </c>
      <c r="E178" s="98"/>
      <c r="F178" s="33" t="s">
        <v>54</v>
      </c>
      <c r="G178" s="33" t="s">
        <v>116</v>
      </c>
      <c r="H178" s="79" t="s">
        <v>56</v>
      </c>
      <c r="I178" s="79" t="s">
        <v>60</v>
      </c>
      <c r="J178" s="39" t="s">
        <v>46</v>
      </c>
      <c r="K178" s="34">
        <v>21.75</v>
      </c>
      <c r="L178" s="38" t="s">
        <v>84</v>
      </c>
      <c r="M178" s="35">
        <v>3</v>
      </c>
      <c r="N178" s="35" t="s">
        <v>84</v>
      </c>
      <c r="O178" s="36">
        <v>0.75</v>
      </c>
      <c r="P178" s="36"/>
      <c r="Q178" s="36">
        <v>4</v>
      </c>
      <c r="R178" s="36"/>
      <c r="S178" s="36"/>
      <c r="T178" s="36"/>
      <c r="U178" s="71">
        <v>4</v>
      </c>
      <c r="V178" s="203"/>
      <c r="W178" s="50">
        <v>0.453125</v>
      </c>
      <c r="X178" s="50">
        <v>1.8125</v>
      </c>
      <c r="Y178" s="81">
        <v>0.453125</v>
      </c>
      <c r="Z178" s="50">
        <v>1.8125</v>
      </c>
      <c r="AA178" s="50">
        <v>4.2096690000000006E-2</v>
      </c>
      <c r="AB178" s="50">
        <v>0.16838676000000002</v>
      </c>
      <c r="AC178" s="64">
        <v>3.13</v>
      </c>
      <c r="AD178" s="64"/>
      <c r="AE178" s="64"/>
      <c r="AF178" s="64"/>
      <c r="AG178" s="44">
        <v>19.678518707400002</v>
      </c>
      <c r="AH178" s="44">
        <v>8.9244982799999999</v>
      </c>
    </row>
    <row r="179" spans="1:34" ht="22.5" customHeight="1">
      <c r="A179" s="89">
        <v>217</v>
      </c>
      <c r="B179" s="105" t="s">
        <v>73</v>
      </c>
      <c r="C179" s="33" t="s">
        <v>65</v>
      </c>
      <c r="D179" s="98">
        <v>18</v>
      </c>
      <c r="E179" s="98"/>
      <c r="F179" s="33" t="s">
        <v>54</v>
      </c>
      <c r="G179" s="33" t="s">
        <v>116</v>
      </c>
      <c r="H179" s="79" t="s">
        <v>78</v>
      </c>
      <c r="I179" s="79" t="s">
        <v>78</v>
      </c>
      <c r="J179" s="39" t="s">
        <v>46</v>
      </c>
      <c r="K179" s="34">
        <v>41.5</v>
      </c>
      <c r="L179" s="38" t="s">
        <v>84</v>
      </c>
      <c r="M179" s="35">
        <v>8.75</v>
      </c>
      <c r="N179" s="35" t="s">
        <v>84</v>
      </c>
      <c r="O179" s="36">
        <v>0.75</v>
      </c>
      <c r="P179" s="36"/>
      <c r="Q179" s="36">
        <v>4</v>
      </c>
      <c r="R179" s="36"/>
      <c r="S179" s="36"/>
      <c r="T179" s="36"/>
      <c r="U179" s="71">
        <v>4</v>
      </c>
      <c r="V179" s="203"/>
      <c r="W179" s="50">
        <v>2.5217013888888888</v>
      </c>
      <c r="X179" s="50">
        <v>10.086805555555555</v>
      </c>
      <c r="Y179" s="81">
        <v>2.5217013888888888</v>
      </c>
      <c r="Z179" s="50">
        <v>10.086805555555555</v>
      </c>
      <c r="AA179" s="50">
        <v>0.23427372500000002</v>
      </c>
      <c r="AB179" s="50">
        <v>0.93709490000000006</v>
      </c>
      <c r="AC179" s="64">
        <v>3.13</v>
      </c>
      <c r="AD179" s="64"/>
      <c r="AE179" s="64"/>
      <c r="AF179" s="64"/>
      <c r="AG179" s="44">
        <v>109.51359548850002</v>
      </c>
      <c r="AH179" s="44">
        <v>49.666029700000003</v>
      </c>
    </row>
    <row r="180" spans="1:34" ht="22.5" customHeight="1">
      <c r="A180" s="89">
        <v>218</v>
      </c>
      <c r="B180" s="104" t="s">
        <v>74</v>
      </c>
      <c r="C180" s="33" t="s">
        <v>65</v>
      </c>
      <c r="D180" s="98">
        <v>23</v>
      </c>
      <c r="E180" s="98"/>
      <c r="F180" s="33" t="s">
        <v>54</v>
      </c>
      <c r="G180" s="33" t="s">
        <v>116</v>
      </c>
      <c r="H180" s="103" t="s">
        <v>61</v>
      </c>
      <c r="I180" s="79" t="s">
        <v>60</v>
      </c>
      <c r="J180" s="39" t="s">
        <v>46</v>
      </c>
      <c r="K180" s="38">
        <v>73.5</v>
      </c>
      <c r="L180" s="80" t="s">
        <v>84</v>
      </c>
      <c r="M180" s="38">
        <v>22.5</v>
      </c>
      <c r="N180" s="35" t="s">
        <v>84</v>
      </c>
      <c r="O180" s="36">
        <v>0.75</v>
      </c>
      <c r="P180" s="36"/>
      <c r="Q180" s="36">
        <v>1</v>
      </c>
      <c r="R180" s="36"/>
      <c r="S180" s="36"/>
      <c r="T180" s="36"/>
      <c r="U180" s="71">
        <v>1</v>
      </c>
      <c r="V180" s="203"/>
      <c r="W180" s="50">
        <v>11.484375</v>
      </c>
      <c r="X180" s="50">
        <v>11.484375</v>
      </c>
      <c r="Y180" s="81">
        <v>11.484375</v>
      </c>
      <c r="Z180" s="50">
        <v>11.484375</v>
      </c>
      <c r="AA180" s="50">
        <v>1.06693335</v>
      </c>
      <c r="AB180" s="50">
        <v>1.06693335</v>
      </c>
      <c r="AC180" s="64">
        <v>3.13</v>
      </c>
      <c r="AD180" s="64">
        <v>3</v>
      </c>
      <c r="AE180" s="64">
        <v>2</v>
      </c>
      <c r="AF180" s="64">
        <v>10</v>
      </c>
      <c r="AG180" s="44">
        <v>124.68716594775</v>
      </c>
      <c r="AH180" s="44">
        <v>56.54746755</v>
      </c>
    </row>
    <row r="181" spans="1:34" ht="22.5" customHeight="1">
      <c r="A181" s="89">
        <v>219</v>
      </c>
      <c r="B181" s="105" t="s">
        <v>74</v>
      </c>
      <c r="C181" s="33" t="s">
        <v>65</v>
      </c>
      <c r="D181" s="98">
        <v>23</v>
      </c>
      <c r="E181" s="98"/>
      <c r="F181" s="33" t="s">
        <v>54</v>
      </c>
      <c r="G181" s="33" t="s">
        <v>116</v>
      </c>
      <c r="H181" s="79" t="s">
        <v>55</v>
      </c>
      <c r="I181" s="79" t="s">
        <v>60</v>
      </c>
      <c r="J181" s="39" t="s">
        <v>46</v>
      </c>
      <c r="K181" s="34">
        <v>73.5</v>
      </c>
      <c r="L181" s="35" t="s">
        <v>84</v>
      </c>
      <c r="M181" s="35">
        <v>3</v>
      </c>
      <c r="N181" s="35" t="s">
        <v>84</v>
      </c>
      <c r="O181" s="36">
        <v>0.75</v>
      </c>
      <c r="P181" s="36"/>
      <c r="Q181" s="36">
        <v>1</v>
      </c>
      <c r="R181" s="36"/>
      <c r="S181" s="36"/>
      <c r="T181" s="36"/>
      <c r="U181" s="71">
        <v>1</v>
      </c>
      <c r="V181" s="203"/>
      <c r="W181" s="50">
        <v>1.53125</v>
      </c>
      <c r="X181" s="50">
        <v>1.53125</v>
      </c>
      <c r="Y181" s="81">
        <v>1.53125</v>
      </c>
      <c r="Z181" s="50">
        <v>1.53125</v>
      </c>
      <c r="AA181" s="50">
        <v>0.14225778</v>
      </c>
      <c r="AB181" s="50">
        <v>0.14225778</v>
      </c>
      <c r="AC181" s="64">
        <v>3.13</v>
      </c>
      <c r="AD181" s="64"/>
      <c r="AE181" s="64"/>
      <c r="AF181" s="64"/>
      <c r="AG181" s="44">
        <v>16.624955459700001</v>
      </c>
      <c r="AH181" s="44">
        <v>7.5396623399999996</v>
      </c>
    </row>
    <row r="182" spans="1:34" ht="22.5" customHeight="1">
      <c r="A182" s="89">
        <v>220</v>
      </c>
      <c r="B182" s="105" t="s">
        <v>74</v>
      </c>
      <c r="C182" s="33" t="s">
        <v>65</v>
      </c>
      <c r="D182" s="98">
        <v>23</v>
      </c>
      <c r="E182" s="98"/>
      <c r="F182" s="33" t="s">
        <v>54</v>
      </c>
      <c r="G182" s="33" t="s">
        <v>116</v>
      </c>
      <c r="H182" s="79" t="s">
        <v>56</v>
      </c>
      <c r="I182" s="79" t="s">
        <v>60</v>
      </c>
      <c r="J182" s="39" t="s">
        <v>46</v>
      </c>
      <c r="K182" s="34">
        <v>21.75</v>
      </c>
      <c r="L182" s="38" t="s">
        <v>84</v>
      </c>
      <c r="M182" s="35">
        <v>3</v>
      </c>
      <c r="N182" s="35" t="s">
        <v>84</v>
      </c>
      <c r="O182" s="36">
        <v>0.75</v>
      </c>
      <c r="P182" s="36"/>
      <c r="Q182" s="36">
        <v>1</v>
      </c>
      <c r="R182" s="36"/>
      <c r="S182" s="36"/>
      <c r="T182" s="36"/>
      <c r="U182" s="71">
        <v>1</v>
      </c>
      <c r="V182" s="203"/>
      <c r="W182" s="50">
        <v>0.453125</v>
      </c>
      <c r="X182" s="50">
        <v>0.453125</v>
      </c>
      <c r="Y182" s="81">
        <v>0.453125</v>
      </c>
      <c r="Z182" s="50">
        <v>0.453125</v>
      </c>
      <c r="AA182" s="50">
        <v>4.2096690000000006E-2</v>
      </c>
      <c r="AB182" s="50">
        <v>4.2096690000000006E-2</v>
      </c>
      <c r="AC182" s="64">
        <v>3.13</v>
      </c>
      <c r="AD182" s="64"/>
      <c r="AE182" s="64"/>
      <c r="AF182" s="64"/>
      <c r="AG182" s="44">
        <v>4.9196296768500005</v>
      </c>
      <c r="AH182" s="44">
        <v>2.23112457</v>
      </c>
    </row>
    <row r="183" spans="1:34" ht="22.5" customHeight="1">
      <c r="A183" s="89">
        <v>221</v>
      </c>
      <c r="B183" s="105" t="s">
        <v>74</v>
      </c>
      <c r="C183" s="33" t="s">
        <v>65</v>
      </c>
      <c r="D183" s="98">
        <v>24</v>
      </c>
      <c r="E183" s="98"/>
      <c r="F183" s="33" t="s">
        <v>54</v>
      </c>
      <c r="G183" s="33" t="s">
        <v>116</v>
      </c>
      <c r="H183" s="79" t="s">
        <v>61</v>
      </c>
      <c r="I183" s="79" t="s">
        <v>60</v>
      </c>
      <c r="J183" s="39" t="s">
        <v>46</v>
      </c>
      <c r="K183" s="34">
        <v>66.5</v>
      </c>
      <c r="L183" s="38" t="s">
        <v>84</v>
      </c>
      <c r="M183" s="35">
        <v>22.5</v>
      </c>
      <c r="N183" s="35" t="s">
        <v>84</v>
      </c>
      <c r="O183" s="36">
        <v>0.75</v>
      </c>
      <c r="P183" s="36"/>
      <c r="Q183" s="36">
        <v>1</v>
      </c>
      <c r="R183" s="36"/>
      <c r="S183" s="36"/>
      <c r="T183" s="36"/>
      <c r="U183" s="71">
        <v>1</v>
      </c>
      <c r="V183" s="203"/>
      <c r="W183" s="50">
        <v>10.390625</v>
      </c>
      <c r="X183" s="50">
        <v>10.390625</v>
      </c>
      <c r="Y183" s="81">
        <v>10.390625</v>
      </c>
      <c r="Z183" s="50">
        <v>10.390625</v>
      </c>
      <c r="AA183" s="50">
        <v>0.96532065000000011</v>
      </c>
      <c r="AB183" s="50">
        <v>0.96532065000000011</v>
      </c>
      <c r="AC183" s="64">
        <v>3.13</v>
      </c>
      <c r="AD183" s="64"/>
      <c r="AE183" s="64">
        <v>1</v>
      </c>
      <c r="AF183" s="64"/>
      <c r="AG183" s="44">
        <v>112.81219776225001</v>
      </c>
      <c r="AH183" s="44">
        <v>51.161994450000002</v>
      </c>
    </row>
    <row r="184" spans="1:34" ht="22.5" customHeight="1">
      <c r="A184" s="89">
        <v>222</v>
      </c>
      <c r="B184" s="105" t="s">
        <v>74</v>
      </c>
      <c r="C184" s="33" t="s">
        <v>65</v>
      </c>
      <c r="D184" s="98">
        <v>24</v>
      </c>
      <c r="E184" s="98"/>
      <c r="F184" s="33" t="s">
        <v>54</v>
      </c>
      <c r="G184" s="33" t="s">
        <v>116</v>
      </c>
      <c r="H184" s="79" t="s">
        <v>55</v>
      </c>
      <c r="I184" s="79" t="s">
        <v>60</v>
      </c>
      <c r="J184" s="39" t="s">
        <v>46</v>
      </c>
      <c r="K184" s="38">
        <v>66.5</v>
      </c>
      <c r="L184" s="35" t="s">
        <v>84</v>
      </c>
      <c r="M184" s="38">
        <v>3</v>
      </c>
      <c r="N184" s="35" t="s">
        <v>84</v>
      </c>
      <c r="O184" s="36">
        <v>0.75</v>
      </c>
      <c r="P184" s="36"/>
      <c r="Q184" s="36">
        <v>1</v>
      </c>
      <c r="R184" s="36"/>
      <c r="S184" s="36"/>
      <c r="T184" s="36"/>
      <c r="U184" s="71">
        <v>1</v>
      </c>
      <c r="V184" s="203"/>
      <c r="W184" s="50">
        <v>1.3854166666666667</v>
      </c>
      <c r="X184" s="50">
        <v>1.3854166666666667</v>
      </c>
      <c r="Y184" s="81">
        <v>1.3854166666666667</v>
      </c>
      <c r="Z184" s="50">
        <v>1.3854166666666667</v>
      </c>
      <c r="AA184" s="50">
        <v>0.12870942000000002</v>
      </c>
      <c r="AB184" s="50">
        <v>0.12870942000000002</v>
      </c>
      <c r="AC184" s="64">
        <v>3.13</v>
      </c>
      <c r="AD184" s="64"/>
      <c r="AE184" s="64"/>
      <c r="AF184" s="64"/>
      <c r="AG184" s="44">
        <v>15.041626368300003</v>
      </c>
      <c r="AH184" s="44">
        <v>6.8215992600000011</v>
      </c>
    </row>
    <row r="185" spans="1:34" ht="22.5" customHeight="1">
      <c r="A185" s="89">
        <v>223</v>
      </c>
      <c r="B185" s="105" t="s">
        <v>74</v>
      </c>
      <c r="C185" s="33" t="s">
        <v>65</v>
      </c>
      <c r="D185" s="98">
        <v>24</v>
      </c>
      <c r="E185" s="98"/>
      <c r="F185" s="33" t="s">
        <v>54</v>
      </c>
      <c r="G185" s="33" t="s">
        <v>116</v>
      </c>
      <c r="H185" s="79" t="s">
        <v>56</v>
      </c>
      <c r="I185" s="79" t="s">
        <v>60</v>
      </c>
      <c r="J185" s="39" t="s">
        <v>46</v>
      </c>
      <c r="K185" s="34">
        <v>21.75</v>
      </c>
      <c r="L185" s="35" t="s">
        <v>84</v>
      </c>
      <c r="M185" s="35">
        <v>3</v>
      </c>
      <c r="N185" s="35" t="s">
        <v>84</v>
      </c>
      <c r="O185" s="36">
        <v>0.75</v>
      </c>
      <c r="P185" s="36"/>
      <c r="Q185" s="36">
        <v>1</v>
      </c>
      <c r="R185" s="36"/>
      <c r="S185" s="36"/>
      <c r="T185" s="36"/>
      <c r="U185" s="71">
        <v>1</v>
      </c>
      <c r="V185" s="203"/>
      <c r="W185" s="50">
        <v>0.453125</v>
      </c>
      <c r="X185" s="50">
        <v>0.453125</v>
      </c>
      <c r="Y185" s="81">
        <v>0.453125</v>
      </c>
      <c r="Z185" s="50">
        <v>0.453125</v>
      </c>
      <c r="AA185" s="50">
        <v>4.2096690000000006E-2</v>
      </c>
      <c r="AB185" s="50">
        <v>4.2096690000000006E-2</v>
      </c>
      <c r="AC185" s="64">
        <v>3.13</v>
      </c>
      <c r="AD185" s="64"/>
      <c r="AE185" s="64"/>
      <c r="AF185" s="64"/>
      <c r="AG185" s="44">
        <v>4.9196296768500005</v>
      </c>
      <c r="AH185" s="44">
        <v>2.23112457</v>
      </c>
    </row>
    <row r="186" spans="1:34" ht="22.5" customHeight="1">
      <c r="A186" s="89">
        <v>224</v>
      </c>
      <c r="B186" s="105" t="s">
        <v>75</v>
      </c>
      <c r="C186" s="33" t="s">
        <v>65</v>
      </c>
      <c r="D186" s="98">
        <v>30</v>
      </c>
      <c r="E186" s="98"/>
      <c r="F186" s="33" t="s">
        <v>54</v>
      </c>
      <c r="G186" s="33" t="s">
        <v>116</v>
      </c>
      <c r="H186" s="103" t="s">
        <v>61</v>
      </c>
      <c r="I186" s="79" t="s">
        <v>60</v>
      </c>
      <c r="J186" s="39" t="s">
        <v>46</v>
      </c>
      <c r="K186" s="34">
        <v>79.5</v>
      </c>
      <c r="L186" s="38" t="s">
        <v>84</v>
      </c>
      <c r="M186" s="35">
        <v>22.5</v>
      </c>
      <c r="N186" s="35" t="s">
        <v>84</v>
      </c>
      <c r="O186" s="36">
        <v>0.75</v>
      </c>
      <c r="P186" s="36"/>
      <c r="Q186" s="36">
        <v>2</v>
      </c>
      <c r="R186" s="36"/>
      <c r="S186" s="36"/>
      <c r="T186" s="36"/>
      <c r="U186" s="71">
        <v>2</v>
      </c>
      <c r="V186" s="203"/>
      <c r="W186" s="50">
        <v>12.421875</v>
      </c>
      <c r="X186" s="50">
        <v>24.84375</v>
      </c>
      <c r="Y186" s="81">
        <v>12.421875</v>
      </c>
      <c r="Z186" s="50">
        <v>24.84375</v>
      </c>
      <c r="AA186" s="50">
        <v>1.15402995</v>
      </c>
      <c r="AB186" s="50">
        <v>2.3080598999999999</v>
      </c>
      <c r="AC186" s="64">
        <v>3.13</v>
      </c>
      <c r="AD186" s="64">
        <v>3</v>
      </c>
      <c r="AE186" s="64">
        <v>2</v>
      </c>
      <c r="AF186" s="64">
        <v>10</v>
      </c>
      <c r="AG186" s="44">
        <v>269.73142021350003</v>
      </c>
      <c r="AH186" s="44">
        <v>122.3271747</v>
      </c>
    </row>
    <row r="187" spans="1:34" ht="22.5" customHeight="1">
      <c r="A187" s="89">
        <v>225</v>
      </c>
      <c r="B187" s="105" t="s">
        <v>75</v>
      </c>
      <c r="C187" s="33" t="s">
        <v>65</v>
      </c>
      <c r="D187" s="98">
        <v>30</v>
      </c>
      <c r="E187" s="98"/>
      <c r="F187" s="33" t="s">
        <v>54</v>
      </c>
      <c r="G187" s="33" t="s">
        <v>116</v>
      </c>
      <c r="H187" s="79" t="s">
        <v>55</v>
      </c>
      <c r="I187" s="79" t="s">
        <v>60</v>
      </c>
      <c r="J187" s="39" t="s">
        <v>46</v>
      </c>
      <c r="K187" s="34">
        <v>79.5</v>
      </c>
      <c r="L187" s="38" t="s">
        <v>84</v>
      </c>
      <c r="M187" s="35">
        <v>3</v>
      </c>
      <c r="N187" s="35" t="s">
        <v>84</v>
      </c>
      <c r="O187" s="36">
        <v>0.75</v>
      </c>
      <c r="P187" s="36"/>
      <c r="Q187" s="36">
        <v>2</v>
      </c>
      <c r="R187" s="36"/>
      <c r="S187" s="36"/>
      <c r="T187" s="36"/>
      <c r="U187" s="71">
        <v>2</v>
      </c>
      <c r="V187" s="203"/>
      <c r="W187" s="50">
        <v>1.65625</v>
      </c>
      <c r="X187" s="50">
        <v>3.3125</v>
      </c>
      <c r="Y187" s="81">
        <v>1.65625</v>
      </c>
      <c r="Z187" s="50">
        <v>3.3125</v>
      </c>
      <c r="AA187" s="50">
        <v>0.15387066000000002</v>
      </c>
      <c r="AB187" s="50">
        <v>0.30774132000000004</v>
      </c>
      <c r="AC187" s="64">
        <v>3.13</v>
      </c>
      <c r="AD187" s="64"/>
      <c r="AE187" s="64"/>
      <c r="AF187" s="64"/>
      <c r="AG187" s="44">
        <v>35.964189361800003</v>
      </c>
      <c r="AH187" s="44">
        <v>16.310289960000002</v>
      </c>
    </row>
    <row r="188" spans="1:34" ht="22.5" customHeight="1">
      <c r="A188" s="89">
        <v>226</v>
      </c>
      <c r="B188" s="105" t="s">
        <v>75</v>
      </c>
      <c r="C188" s="33" t="s">
        <v>65</v>
      </c>
      <c r="D188" s="98">
        <v>30</v>
      </c>
      <c r="E188" s="98"/>
      <c r="F188" s="33" t="s">
        <v>54</v>
      </c>
      <c r="G188" s="33" t="s">
        <v>116</v>
      </c>
      <c r="H188" s="79" t="s">
        <v>56</v>
      </c>
      <c r="I188" s="79" t="s">
        <v>60</v>
      </c>
      <c r="J188" s="39" t="s">
        <v>46</v>
      </c>
      <c r="K188" s="38">
        <v>21.75</v>
      </c>
      <c r="L188" s="35" t="s">
        <v>84</v>
      </c>
      <c r="M188" s="38">
        <v>3</v>
      </c>
      <c r="N188" s="35" t="s">
        <v>84</v>
      </c>
      <c r="O188" s="36">
        <v>0.75</v>
      </c>
      <c r="P188" s="36"/>
      <c r="Q188" s="36">
        <v>2</v>
      </c>
      <c r="R188" s="36"/>
      <c r="S188" s="36"/>
      <c r="T188" s="36"/>
      <c r="U188" s="71">
        <v>2</v>
      </c>
      <c r="V188" s="203"/>
      <c r="W188" s="50">
        <v>0.453125</v>
      </c>
      <c r="X188" s="50">
        <v>0.90625</v>
      </c>
      <c r="Y188" s="81">
        <v>0.453125</v>
      </c>
      <c r="Z188" s="50">
        <v>0.90625</v>
      </c>
      <c r="AA188" s="50">
        <v>4.2096690000000006E-2</v>
      </c>
      <c r="AB188" s="50">
        <v>8.4193380000000012E-2</v>
      </c>
      <c r="AC188" s="64">
        <v>3.13</v>
      </c>
      <c r="AD188" s="64"/>
      <c r="AE188" s="64"/>
      <c r="AF188" s="64"/>
      <c r="AG188" s="44">
        <v>9.839259353700001</v>
      </c>
      <c r="AH188" s="44">
        <v>4.4622491399999999</v>
      </c>
    </row>
    <row r="189" spans="1:34" ht="22.5" customHeight="1">
      <c r="A189" s="89">
        <v>227</v>
      </c>
      <c r="B189" s="105" t="s">
        <v>75</v>
      </c>
      <c r="C189" s="33" t="s">
        <v>65</v>
      </c>
      <c r="D189" s="98">
        <v>31</v>
      </c>
      <c r="E189" s="98"/>
      <c r="F189" s="33" t="s">
        <v>54</v>
      </c>
      <c r="G189" s="33" t="s">
        <v>116</v>
      </c>
      <c r="H189" s="79" t="s">
        <v>61</v>
      </c>
      <c r="I189" s="79" t="s">
        <v>60</v>
      </c>
      <c r="J189" s="39" t="s">
        <v>46</v>
      </c>
      <c r="K189" s="34">
        <v>51.5</v>
      </c>
      <c r="L189" s="35" t="s">
        <v>84</v>
      </c>
      <c r="M189" s="35">
        <v>22.5</v>
      </c>
      <c r="N189" s="35" t="s">
        <v>84</v>
      </c>
      <c r="O189" s="36">
        <v>0.75</v>
      </c>
      <c r="P189" s="36"/>
      <c r="Q189" s="36">
        <v>2</v>
      </c>
      <c r="R189" s="36"/>
      <c r="S189" s="36"/>
      <c r="T189" s="36"/>
      <c r="U189" s="71">
        <v>2</v>
      </c>
      <c r="V189" s="203"/>
      <c r="W189" s="50">
        <v>8.046875</v>
      </c>
      <c r="X189" s="50">
        <v>16.09375</v>
      </c>
      <c r="Y189" s="81">
        <v>8.046875</v>
      </c>
      <c r="Z189" s="50">
        <v>16.09375</v>
      </c>
      <c r="AA189" s="50">
        <v>0.74757915000000008</v>
      </c>
      <c r="AB189" s="50">
        <v>1.4951583000000002</v>
      </c>
      <c r="AC189" s="64">
        <v>3.13</v>
      </c>
      <c r="AD189" s="64"/>
      <c r="AE189" s="64">
        <v>1</v>
      </c>
      <c r="AF189" s="64"/>
      <c r="AG189" s="44">
        <v>174.73167472949999</v>
      </c>
      <c r="AH189" s="44">
        <v>79.243389899999997</v>
      </c>
    </row>
    <row r="190" spans="1:34" ht="22.5" customHeight="1">
      <c r="A190" s="89">
        <v>228</v>
      </c>
      <c r="B190" s="105" t="s">
        <v>75</v>
      </c>
      <c r="C190" s="33" t="s">
        <v>65</v>
      </c>
      <c r="D190" s="98">
        <v>31</v>
      </c>
      <c r="E190" s="98"/>
      <c r="F190" s="33" t="s">
        <v>54</v>
      </c>
      <c r="G190" s="33" t="s">
        <v>116</v>
      </c>
      <c r="H190" s="79" t="s">
        <v>55</v>
      </c>
      <c r="I190" s="79" t="s">
        <v>60</v>
      </c>
      <c r="J190" s="39" t="s">
        <v>46</v>
      </c>
      <c r="K190" s="34">
        <v>51.5</v>
      </c>
      <c r="L190" s="38" t="s">
        <v>84</v>
      </c>
      <c r="M190" s="35">
        <v>3</v>
      </c>
      <c r="N190" s="35" t="s">
        <v>84</v>
      </c>
      <c r="O190" s="36">
        <v>0.75</v>
      </c>
      <c r="P190" s="36"/>
      <c r="Q190" s="36">
        <v>2</v>
      </c>
      <c r="R190" s="36"/>
      <c r="S190" s="36"/>
      <c r="T190" s="36"/>
      <c r="U190" s="71">
        <v>2</v>
      </c>
      <c r="V190" s="203"/>
      <c r="W190" s="50">
        <v>1.0729166666666667</v>
      </c>
      <c r="X190" s="50">
        <v>2.1458333333333335</v>
      </c>
      <c r="Y190" s="81">
        <v>1.0729166666666667</v>
      </c>
      <c r="Z190" s="50">
        <v>2.1458333333333335</v>
      </c>
      <c r="AA190" s="50">
        <v>9.9677220000000011E-2</v>
      </c>
      <c r="AB190" s="50">
        <v>0.19935444000000002</v>
      </c>
      <c r="AC190" s="64">
        <v>3.13</v>
      </c>
      <c r="AD190" s="64"/>
      <c r="AE190" s="64"/>
      <c r="AF190" s="64"/>
      <c r="AG190" s="44">
        <v>23.297556630600003</v>
      </c>
      <c r="AH190" s="44">
        <v>10.565785320000002</v>
      </c>
    </row>
    <row r="191" spans="1:34" ht="22.5" customHeight="1">
      <c r="A191" s="89">
        <v>229</v>
      </c>
      <c r="B191" s="105" t="s">
        <v>75</v>
      </c>
      <c r="C191" s="33" t="s">
        <v>65</v>
      </c>
      <c r="D191" s="98">
        <v>32</v>
      </c>
      <c r="E191" s="98"/>
      <c r="F191" s="33" t="s">
        <v>54</v>
      </c>
      <c r="G191" s="33" t="s">
        <v>116</v>
      </c>
      <c r="H191" s="79" t="s">
        <v>78</v>
      </c>
      <c r="I191" s="79" t="s">
        <v>78</v>
      </c>
      <c r="J191" s="39" t="s">
        <v>46</v>
      </c>
      <c r="K191" s="34">
        <v>41.5</v>
      </c>
      <c r="L191" s="38" t="s">
        <v>84</v>
      </c>
      <c r="M191" s="35">
        <v>8.75</v>
      </c>
      <c r="N191" s="35" t="s">
        <v>84</v>
      </c>
      <c r="O191" s="36">
        <v>0.75</v>
      </c>
      <c r="P191" s="36"/>
      <c r="Q191" s="36">
        <v>2</v>
      </c>
      <c r="R191" s="36"/>
      <c r="S191" s="36"/>
      <c r="T191" s="36"/>
      <c r="U191" s="71">
        <v>2</v>
      </c>
      <c r="V191" s="203"/>
      <c r="W191" s="50">
        <v>2.5217013888888888</v>
      </c>
      <c r="X191" s="50">
        <v>5.0434027777777777</v>
      </c>
      <c r="Y191" s="81">
        <v>2.5217013888888888</v>
      </c>
      <c r="Z191" s="50">
        <v>5.0434027777777777</v>
      </c>
      <c r="AA191" s="50">
        <v>0.23427372500000002</v>
      </c>
      <c r="AB191" s="50">
        <v>0.46854745000000003</v>
      </c>
      <c r="AC191" s="64">
        <v>3.13</v>
      </c>
      <c r="AD191" s="64"/>
      <c r="AE191" s="64"/>
      <c r="AF191" s="64"/>
      <c r="AG191" s="44">
        <v>54.756797744250008</v>
      </c>
      <c r="AH191" s="44">
        <v>24.833014850000001</v>
      </c>
    </row>
    <row r="192" spans="1:34" ht="22.5" customHeight="1">
      <c r="A192" s="89">
        <v>230</v>
      </c>
      <c r="B192" s="105" t="s">
        <v>76</v>
      </c>
      <c r="C192" s="33" t="s">
        <v>65</v>
      </c>
      <c r="D192" s="98">
        <v>45</v>
      </c>
      <c r="E192" s="98"/>
      <c r="F192" s="33" t="s">
        <v>54</v>
      </c>
      <c r="G192" s="33" t="s">
        <v>116</v>
      </c>
      <c r="H192" s="103" t="s">
        <v>61</v>
      </c>
      <c r="I192" s="79" t="s">
        <v>60</v>
      </c>
      <c r="J192" s="39" t="s">
        <v>46</v>
      </c>
      <c r="K192" s="34">
        <v>70.5</v>
      </c>
      <c r="L192" s="35" t="s">
        <v>84</v>
      </c>
      <c r="M192" s="35">
        <v>22.5</v>
      </c>
      <c r="N192" s="35" t="s">
        <v>84</v>
      </c>
      <c r="O192" s="36">
        <v>0.75</v>
      </c>
      <c r="P192" s="36"/>
      <c r="Q192" s="36">
        <v>1</v>
      </c>
      <c r="R192" s="36"/>
      <c r="S192" s="36"/>
      <c r="T192" s="36"/>
      <c r="U192" s="71">
        <v>1</v>
      </c>
      <c r="V192" s="203"/>
      <c r="W192" s="50">
        <v>11.015625</v>
      </c>
      <c r="X192" s="50">
        <v>11.015625</v>
      </c>
      <c r="Y192" s="81">
        <v>11.015625</v>
      </c>
      <c r="Z192" s="50">
        <v>11.015625</v>
      </c>
      <c r="AA192" s="50">
        <v>1.0233850500000001</v>
      </c>
      <c r="AB192" s="50">
        <v>1.0233850500000001</v>
      </c>
      <c r="AC192" s="64">
        <v>3.13</v>
      </c>
      <c r="AD192" s="64">
        <v>3</v>
      </c>
      <c r="AE192" s="64">
        <v>2</v>
      </c>
      <c r="AF192" s="64">
        <v>10</v>
      </c>
      <c r="AG192" s="44">
        <v>119.59789386825001</v>
      </c>
      <c r="AH192" s="44">
        <v>54.239407650000004</v>
      </c>
    </row>
    <row r="193" spans="1:34" ht="22.5" customHeight="1">
      <c r="A193" s="89">
        <v>231</v>
      </c>
      <c r="B193" s="105" t="s">
        <v>76</v>
      </c>
      <c r="C193" s="33" t="s">
        <v>65</v>
      </c>
      <c r="D193" s="98">
        <v>45</v>
      </c>
      <c r="E193" s="98"/>
      <c r="F193" s="33" t="s">
        <v>54</v>
      </c>
      <c r="G193" s="33" t="s">
        <v>116</v>
      </c>
      <c r="H193" s="79" t="s">
        <v>55</v>
      </c>
      <c r="I193" s="79" t="s">
        <v>60</v>
      </c>
      <c r="J193" s="39" t="s">
        <v>46</v>
      </c>
      <c r="K193" s="34">
        <v>70.5</v>
      </c>
      <c r="L193" s="35" t="s">
        <v>84</v>
      </c>
      <c r="M193" s="35">
        <v>3</v>
      </c>
      <c r="N193" s="35" t="s">
        <v>84</v>
      </c>
      <c r="O193" s="36">
        <v>0.75</v>
      </c>
      <c r="P193" s="36"/>
      <c r="Q193" s="36">
        <v>1</v>
      </c>
      <c r="R193" s="36"/>
      <c r="S193" s="36"/>
      <c r="T193" s="36"/>
      <c r="U193" s="71">
        <v>1</v>
      </c>
      <c r="V193" s="203"/>
      <c r="W193" s="50">
        <v>1.46875</v>
      </c>
      <c r="X193" s="50">
        <v>1.46875</v>
      </c>
      <c r="Y193" s="81">
        <v>1.46875</v>
      </c>
      <c r="Z193" s="50">
        <v>1.46875</v>
      </c>
      <c r="AA193" s="50">
        <v>0.13645134</v>
      </c>
      <c r="AB193" s="50">
        <v>0.13645134</v>
      </c>
      <c r="AC193" s="64">
        <v>3.13</v>
      </c>
      <c r="AD193" s="64"/>
      <c r="AE193" s="64"/>
      <c r="AF193" s="64"/>
      <c r="AG193" s="44">
        <v>15.9463858491</v>
      </c>
      <c r="AH193" s="44">
        <v>7.2319210199999997</v>
      </c>
    </row>
    <row r="194" spans="1:34" ht="22.5" customHeight="1">
      <c r="A194" s="89">
        <v>232</v>
      </c>
      <c r="B194" s="105" t="s">
        <v>76</v>
      </c>
      <c r="C194" s="33" t="s">
        <v>65</v>
      </c>
      <c r="D194" s="98">
        <v>45</v>
      </c>
      <c r="E194" s="98"/>
      <c r="F194" s="33" t="s">
        <v>54</v>
      </c>
      <c r="G194" s="33" t="s">
        <v>116</v>
      </c>
      <c r="H194" s="79" t="s">
        <v>56</v>
      </c>
      <c r="I194" s="79" t="s">
        <v>60</v>
      </c>
      <c r="J194" s="39" t="s">
        <v>46</v>
      </c>
      <c r="K194" s="34">
        <v>21.75</v>
      </c>
      <c r="L194" s="38" t="s">
        <v>84</v>
      </c>
      <c r="M194" s="35">
        <v>3</v>
      </c>
      <c r="N194" s="35" t="s">
        <v>84</v>
      </c>
      <c r="O194" s="36">
        <v>0.75</v>
      </c>
      <c r="P194" s="36"/>
      <c r="Q194" s="36">
        <v>1</v>
      </c>
      <c r="R194" s="36"/>
      <c r="S194" s="36"/>
      <c r="T194" s="36"/>
      <c r="U194" s="71">
        <v>1</v>
      </c>
      <c r="V194" s="203"/>
      <c r="W194" s="50">
        <v>0.453125</v>
      </c>
      <c r="X194" s="50">
        <v>0.453125</v>
      </c>
      <c r="Y194" s="81">
        <v>0.453125</v>
      </c>
      <c r="Z194" s="50">
        <v>0.453125</v>
      </c>
      <c r="AA194" s="50">
        <v>4.2096690000000006E-2</v>
      </c>
      <c r="AB194" s="50">
        <v>4.2096690000000006E-2</v>
      </c>
      <c r="AC194" s="64">
        <v>3.13</v>
      </c>
      <c r="AD194" s="64"/>
      <c r="AE194" s="64"/>
      <c r="AF194" s="64"/>
      <c r="AG194" s="44">
        <v>4.9196296768500005</v>
      </c>
      <c r="AH194" s="44">
        <v>2.23112457</v>
      </c>
    </row>
    <row r="195" spans="1:34" ht="22.5" customHeight="1">
      <c r="A195" s="89">
        <v>233</v>
      </c>
      <c r="B195" s="105" t="s">
        <v>76</v>
      </c>
      <c r="C195" s="33" t="s">
        <v>65</v>
      </c>
      <c r="D195" s="98">
        <v>46</v>
      </c>
      <c r="E195" s="98"/>
      <c r="F195" s="33" t="s">
        <v>54</v>
      </c>
      <c r="G195" s="33" t="s">
        <v>116</v>
      </c>
      <c r="H195" s="103" t="s">
        <v>61</v>
      </c>
      <c r="I195" s="79" t="s">
        <v>60</v>
      </c>
      <c r="J195" s="39" t="s">
        <v>46</v>
      </c>
      <c r="K195" s="34">
        <v>76.5</v>
      </c>
      <c r="L195" s="38" t="s">
        <v>84</v>
      </c>
      <c r="M195" s="35">
        <v>22.5</v>
      </c>
      <c r="N195" s="35" t="s">
        <v>84</v>
      </c>
      <c r="O195" s="36">
        <v>0.75</v>
      </c>
      <c r="P195" s="36"/>
      <c r="Q195" s="36">
        <v>1</v>
      </c>
      <c r="R195" s="36"/>
      <c r="S195" s="36"/>
      <c r="T195" s="36"/>
      <c r="U195" s="71">
        <v>1</v>
      </c>
      <c r="V195" s="203"/>
      <c r="W195" s="50">
        <v>11.953125</v>
      </c>
      <c r="X195" s="50">
        <v>11.953125</v>
      </c>
      <c r="Y195" s="81">
        <v>11.953125</v>
      </c>
      <c r="Z195" s="50">
        <v>11.953125</v>
      </c>
      <c r="AA195" s="50">
        <v>1.1104816500000001</v>
      </c>
      <c r="AB195" s="50">
        <v>1.1104816500000001</v>
      </c>
      <c r="AC195" s="64">
        <v>3.13</v>
      </c>
      <c r="AD195" s="64">
        <v>3</v>
      </c>
      <c r="AE195" s="64">
        <v>2</v>
      </c>
      <c r="AF195" s="64">
        <v>10</v>
      </c>
      <c r="AG195" s="44">
        <v>129.77643802725001</v>
      </c>
      <c r="AH195" s="44">
        <v>58.855527449999997</v>
      </c>
    </row>
    <row r="196" spans="1:34" ht="22.5" customHeight="1">
      <c r="A196" s="89">
        <v>234</v>
      </c>
      <c r="B196" s="105" t="s">
        <v>76</v>
      </c>
      <c r="C196" s="33" t="s">
        <v>65</v>
      </c>
      <c r="D196" s="98">
        <v>46</v>
      </c>
      <c r="E196" s="98"/>
      <c r="F196" s="33" t="s">
        <v>54</v>
      </c>
      <c r="G196" s="33" t="s">
        <v>116</v>
      </c>
      <c r="H196" s="79" t="s">
        <v>55</v>
      </c>
      <c r="I196" s="79" t="s">
        <v>60</v>
      </c>
      <c r="J196" s="39" t="s">
        <v>46</v>
      </c>
      <c r="K196" s="34">
        <v>76.5</v>
      </c>
      <c r="L196" s="35" t="s">
        <v>84</v>
      </c>
      <c r="M196" s="35">
        <v>3</v>
      </c>
      <c r="N196" s="35" t="s">
        <v>84</v>
      </c>
      <c r="O196" s="36">
        <v>0.75</v>
      </c>
      <c r="P196" s="36"/>
      <c r="Q196" s="36">
        <v>1</v>
      </c>
      <c r="R196" s="36"/>
      <c r="S196" s="36"/>
      <c r="T196" s="36"/>
      <c r="U196" s="71">
        <v>1</v>
      </c>
      <c r="V196" s="203"/>
      <c r="W196" s="50">
        <v>1.59375</v>
      </c>
      <c r="X196" s="50">
        <v>1.59375</v>
      </c>
      <c r="Y196" s="81">
        <v>1.59375</v>
      </c>
      <c r="Z196" s="50">
        <v>1.59375</v>
      </c>
      <c r="AA196" s="50">
        <v>0.14806422</v>
      </c>
      <c r="AB196" s="50">
        <v>0.14806422</v>
      </c>
      <c r="AC196" s="64">
        <v>3.13</v>
      </c>
      <c r="AD196" s="64"/>
      <c r="AE196" s="64"/>
      <c r="AF196" s="64"/>
      <c r="AG196" s="44">
        <v>17.303525070300001</v>
      </c>
      <c r="AH196" s="44">
        <v>7.8474036600000003</v>
      </c>
    </row>
    <row r="197" spans="1:34" ht="22.5" customHeight="1">
      <c r="A197" s="89">
        <v>235</v>
      </c>
      <c r="B197" s="104" t="s">
        <v>76</v>
      </c>
      <c r="C197" s="33" t="s">
        <v>65</v>
      </c>
      <c r="D197" s="98">
        <v>46</v>
      </c>
      <c r="E197" s="98"/>
      <c r="F197" s="33" t="s">
        <v>54</v>
      </c>
      <c r="G197" s="33" t="s">
        <v>116</v>
      </c>
      <c r="H197" s="79" t="s">
        <v>56</v>
      </c>
      <c r="I197" s="79" t="s">
        <v>60</v>
      </c>
      <c r="J197" s="39" t="s">
        <v>46</v>
      </c>
      <c r="K197" s="38">
        <v>21.75</v>
      </c>
      <c r="L197" s="80" t="s">
        <v>84</v>
      </c>
      <c r="M197" s="38">
        <v>3</v>
      </c>
      <c r="N197" s="35" t="s">
        <v>84</v>
      </c>
      <c r="O197" s="36">
        <v>0.75</v>
      </c>
      <c r="P197" s="36"/>
      <c r="Q197" s="36">
        <v>1</v>
      </c>
      <c r="R197" s="36"/>
      <c r="S197" s="36"/>
      <c r="T197" s="36"/>
      <c r="U197" s="71">
        <v>1</v>
      </c>
      <c r="V197" s="204"/>
      <c r="W197" s="50">
        <v>0.453125</v>
      </c>
      <c r="X197" s="50">
        <v>0.453125</v>
      </c>
      <c r="Y197" s="81">
        <v>0.453125</v>
      </c>
      <c r="Z197" s="50">
        <v>0.453125</v>
      </c>
      <c r="AA197" s="50">
        <v>4.2096690000000006E-2</v>
      </c>
      <c r="AB197" s="50">
        <v>4.2096690000000006E-2</v>
      </c>
      <c r="AC197" s="64">
        <v>3.13</v>
      </c>
      <c r="AD197" s="64"/>
      <c r="AE197" s="64"/>
      <c r="AF197" s="64"/>
      <c r="AG197" s="44">
        <v>4.9196296768500005</v>
      </c>
      <c r="AH197" s="44">
        <v>2.23112457</v>
      </c>
    </row>
    <row r="198" spans="1:34" ht="22.5" customHeight="1">
      <c r="A198" s="89"/>
      <c r="B198" s="105"/>
      <c r="C198" s="73"/>
      <c r="D198" s="145"/>
      <c r="E198" s="145"/>
      <c r="F198" s="73"/>
      <c r="G198" s="73"/>
      <c r="H198" s="146"/>
      <c r="I198" s="146"/>
      <c r="J198" s="147"/>
      <c r="K198" s="121"/>
      <c r="L198" s="80"/>
      <c r="M198" s="121"/>
      <c r="N198" s="80"/>
      <c r="O198" s="148"/>
      <c r="P198" s="148"/>
      <c r="Q198" s="148"/>
      <c r="R198" s="148"/>
      <c r="S198" s="148"/>
      <c r="T198" s="148"/>
      <c r="U198" s="149">
        <f>SUBTOTAL(9,U172:U197)</f>
        <v>44</v>
      </c>
      <c r="V198" s="144"/>
      <c r="W198" s="150"/>
      <c r="X198" s="150"/>
      <c r="Y198" s="151"/>
      <c r="Z198" s="150"/>
      <c r="AA198" s="150"/>
      <c r="AB198" s="150"/>
      <c r="AC198" s="152"/>
      <c r="AD198" s="153"/>
      <c r="AE198" s="153"/>
      <c r="AF198" s="153"/>
      <c r="AG198" s="154">
        <f>SUBTOTAL(9,AG172:AG197)</f>
        <v>2065.5187717767749</v>
      </c>
      <c r="AH198" s="154">
        <f>SUBTOTAL(9,AH172:AH197)</f>
        <v>936.74320715500016</v>
      </c>
    </row>
    <row r="199" spans="1:34" s="157" customFormat="1" ht="30" customHeight="1">
      <c r="A199" s="207" t="s">
        <v>88</v>
      </c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156">
        <f>COUNT(V18:V197)</f>
        <v>17</v>
      </c>
      <c r="W199" s="136"/>
      <c r="X199" s="136">
        <f>SUM(X18:X198)</f>
        <v>3133.3047960069439</v>
      </c>
      <c r="Y199" s="155"/>
      <c r="Z199" s="136">
        <f>SUM(Z18:Z198)</f>
        <v>3006.6882986111113</v>
      </c>
      <c r="AA199" s="136"/>
      <c r="AB199" s="136">
        <f>SUM(AB18:AB198)</f>
        <v>291.09354079562473</v>
      </c>
      <c r="AC199" s="137"/>
      <c r="AD199" s="137"/>
      <c r="AE199" s="137"/>
      <c r="AF199" s="137"/>
      <c r="AG199" s="138">
        <f>SUBTOTAL(9,AG18:AG198)</f>
        <v>47356.185037919306</v>
      </c>
      <c r="AH199" s="138">
        <f>SUBTOTAL(9,AH18:AH198)</f>
        <v>21476.727908353445</v>
      </c>
    </row>
    <row r="200" spans="1:34" ht="30" customHeight="1">
      <c r="A200" s="206" t="s">
        <v>91</v>
      </c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  <c r="AA200" s="206"/>
      <c r="AB200" s="206"/>
      <c r="AC200" s="206"/>
      <c r="AD200" s="206"/>
      <c r="AE200" s="206"/>
      <c r="AF200" s="206"/>
      <c r="AG200" s="206"/>
      <c r="AH200" s="206"/>
    </row>
    <row r="201" spans="1:34" ht="22.5" customHeight="1">
      <c r="A201" s="89">
        <v>82</v>
      </c>
      <c r="B201" s="104" t="s">
        <v>70</v>
      </c>
      <c r="C201" s="33" t="s">
        <v>43</v>
      </c>
      <c r="D201" s="98">
        <v>1</v>
      </c>
      <c r="E201" s="98"/>
      <c r="F201" s="33" t="s">
        <v>54</v>
      </c>
      <c r="G201" s="33" t="s">
        <v>116</v>
      </c>
      <c r="H201" s="79" t="s">
        <v>58</v>
      </c>
      <c r="I201" s="79" t="s">
        <v>47</v>
      </c>
      <c r="J201" s="39" t="s">
        <v>46</v>
      </c>
      <c r="K201" s="38">
        <v>97.375</v>
      </c>
      <c r="L201" s="80" t="s">
        <v>84</v>
      </c>
      <c r="M201" s="38">
        <v>43.625</v>
      </c>
      <c r="N201" s="35" t="s">
        <v>84</v>
      </c>
      <c r="O201" s="36">
        <v>1.25</v>
      </c>
      <c r="P201" s="36"/>
      <c r="Q201" s="36"/>
      <c r="R201" s="36"/>
      <c r="S201" s="36">
        <v>2</v>
      </c>
      <c r="T201" s="36"/>
      <c r="U201" s="71">
        <v>2</v>
      </c>
      <c r="V201" s="202">
        <v>14</v>
      </c>
      <c r="W201" s="50">
        <v>29.499891493055557</v>
      </c>
      <c r="X201" s="50">
        <v>58.999782986111114</v>
      </c>
      <c r="Y201" s="109">
        <v>29.49</v>
      </c>
      <c r="Z201" s="50">
        <v>58.98</v>
      </c>
      <c r="AA201" s="50">
        <v>2.7406295993750005</v>
      </c>
      <c r="AB201" s="50">
        <v>5.481259198750001</v>
      </c>
      <c r="AC201" s="64">
        <v>4.01</v>
      </c>
      <c r="AD201" s="64"/>
      <c r="AE201" s="64"/>
      <c r="AF201" s="64"/>
      <c r="AG201" s="44">
        <v>960.85103439287832</v>
      </c>
      <c r="AH201" s="44">
        <v>435.76010630062507</v>
      </c>
    </row>
    <row r="202" spans="1:34" ht="22.5" customHeight="1">
      <c r="A202" s="89">
        <v>83</v>
      </c>
      <c r="B202" s="105" t="s">
        <v>70</v>
      </c>
      <c r="C202" s="33" t="s">
        <v>65</v>
      </c>
      <c r="D202" s="98">
        <v>3</v>
      </c>
      <c r="E202" s="98"/>
      <c r="F202" s="33" t="s">
        <v>54</v>
      </c>
      <c r="G202" s="33" t="s">
        <v>116</v>
      </c>
      <c r="H202" s="79" t="s">
        <v>58</v>
      </c>
      <c r="I202" s="79" t="s">
        <v>47</v>
      </c>
      <c r="J202" s="39" t="s">
        <v>46</v>
      </c>
      <c r="K202" s="34">
        <v>97.375</v>
      </c>
      <c r="L202" s="35" t="s">
        <v>84</v>
      </c>
      <c r="M202" s="35">
        <v>43.625</v>
      </c>
      <c r="N202" s="35" t="s">
        <v>84</v>
      </c>
      <c r="O202" s="36">
        <v>1.25</v>
      </c>
      <c r="P202" s="36"/>
      <c r="Q202" s="36"/>
      <c r="R202" s="36"/>
      <c r="S202" s="36">
        <v>2</v>
      </c>
      <c r="T202" s="36"/>
      <c r="U202" s="71">
        <v>2</v>
      </c>
      <c r="V202" s="203"/>
      <c r="W202" s="50">
        <v>29.499891493055557</v>
      </c>
      <c r="X202" s="50">
        <v>58.999782986111114</v>
      </c>
      <c r="Y202" s="109">
        <v>29.49</v>
      </c>
      <c r="Z202" s="50">
        <v>58.98</v>
      </c>
      <c r="AA202" s="50">
        <v>2.7406295993750005</v>
      </c>
      <c r="AB202" s="50">
        <v>5.481259198750001</v>
      </c>
      <c r="AC202" s="64">
        <v>4.01</v>
      </c>
      <c r="AD202" s="64"/>
      <c r="AE202" s="64"/>
      <c r="AF202" s="64"/>
      <c r="AG202" s="44">
        <v>960.85103439287832</v>
      </c>
      <c r="AH202" s="44">
        <v>435.76010630062507</v>
      </c>
    </row>
    <row r="203" spans="1:34" ht="22.5" customHeight="1">
      <c r="A203" s="89">
        <v>84</v>
      </c>
      <c r="B203" s="105" t="s">
        <v>74</v>
      </c>
      <c r="C203" s="33" t="s">
        <v>65</v>
      </c>
      <c r="D203" s="98">
        <v>22</v>
      </c>
      <c r="E203" s="98"/>
      <c r="F203" s="33" t="s">
        <v>54</v>
      </c>
      <c r="G203" s="33" t="s">
        <v>116</v>
      </c>
      <c r="H203" s="79" t="s">
        <v>45</v>
      </c>
      <c r="I203" s="79" t="s">
        <v>47</v>
      </c>
      <c r="J203" s="39" t="s">
        <v>46</v>
      </c>
      <c r="K203" s="34">
        <v>90.125</v>
      </c>
      <c r="L203" s="38" t="s">
        <v>84</v>
      </c>
      <c r="M203" s="35">
        <v>43.625</v>
      </c>
      <c r="N203" s="35" t="s">
        <v>84</v>
      </c>
      <c r="O203" s="36">
        <v>1.25</v>
      </c>
      <c r="P203" s="36"/>
      <c r="Q203" s="36"/>
      <c r="R203" s="36"/>
      <c r="S203" s="36">
        <v>1</v>
      </c>
      <c r="T203" s="36"/>
      <c r="U203" s="71">
        <v>1</v>
      </c>
      <c r="V203" s="203"/>
      <c r="W203" s="50">
        <v>27.303493923611111</v>
      </c>
      <c r="X203" s="50">
        <v>27.303493923611111</v>
      </c>
      <c r="Y203" s="109">
        <v>27.28</v>
      </c>
      <c r="Z203" s="50">
        <v>27.28</v>
      </c>
      <c r="AA203" s="50">
        <v>2.5365775881250001</v>
      </c>
      <c r="AB203" s="50">
        <v>2.5365775881250001</v>
      </c>
      <c r="AC203" s="64">
        <v>4.01</v>
      </c>
      <c r="AD203" s="64"/>
      <c r="AE203" s="64"/>
      <c r="AF203" s="64"/>
      <c r="AG203" s="44">
        <v>444.65570975434218</v>
      </c>
      <c r="AH203" s="44">
        <v>201.65791825593749</v>
      </c>
    </row>
    <row r="204" spans="1:34" ht="22.5" customHeight="1">
      <c r="A204" s="89">
        <v>85</v>
      </c>
      <c r="B204" s="105" t="s">
        <v>75</v>
      </c>
      <c r="C204" s="33" t="s">
        <v>65</v>
      </c>
      <c r="D204" s="98">
        <v>29</v>
      </c>
      <c r="E204" s="98"/>
      <c r="F204" s="33" t="s">
        <v>54</v>
      </c>
      <c r="G204" s="33" t="s">
        <v>116</v>
      </c>
      <c r="H204" s="79" t="s">
        <v>58</v>
      </c>
      <c r="I204" s="79" t="s">
        <v>47</v>
      </c>
      <c r="J204" s="39" t="s">
        <v>46</v>
      </c>
      <c r="K204" s="34">
        <v>78</v>
      </c>
      <c r="L204" s="38" t="s">
        <v>84</v>
      </c>
      <c r="M204" s="108">
        <v>29.75</v>
      </c>
      <c r="N204" s="35" t="s">
        <v>84</v>
      </c>
      <c r="O204" s="36">
        <v>1.25</v>
      </c>
      <c r="P204" s="36"/>
      <c r="Q204" s="36"/>
      <c r="R204" s="36"/>
      <c r="S204" s="36">
        <v>1</v>
      </c>
      <c r="T204" s="36"/>
      <c r="U204" s="71">
        <v>1</v>
      </c>
      <c r="V204" s="203"/>
      <c r="W204" s="50">
        <v>16.114583333333332</v>
      </c>
      <c r="X204" s="50">
        <v>16.114583333333332</v>
      </c>
      <c r="Y204" s="109">
        <v>11.74</v>
      </c>
      <c r="Z204" s="50">
        <v>11.74</v>
      </c>
      <c r="AA204" s="50">
        <v>1.4970937799999999</v>
      </c>
      <c r="AB204" s="50">
        <v>1.4970937799999999</v>
      </c>
      <c r="AC204" s="64">
        <v>4.01</v>
      </c>
      <c r="AD204" s="64"/>
      <c r="AE204" s="64"/>
      <c r="AF204" s="64"/>
      <c r="AG204" s="44">
        <v>262.43679689954996</v>
      </c>
      <c r="AH204" s="44">
        <v>119.01895550999998</v>
      </c>
    </row>
    <row r="205" spans="1:34" ht="22.5" customHeight="1">
      <c r="A205" s="89">
        <v>86</v>
      </c>
      <c r="B205" s="104" t="s">
        <v>75</v>
      </c>
      <c r="C205" s="33" t="s">
        <v>65</v>
      </c>
      <c r="D205" s="98">
        <v>29</v>
      </c>
      <c r="E205" s="98"/>
      <c r="F205" s="33" t="s">
        <v>54</v>
      </c>
      <c r="G205" s="33" t="s">
        <v>116</v>
      </c>
      <c r="H205" s="79" t="s">
        <v>58</v>
      </c>
      <c r="I205" s="79" t="s">
        <v>47</v>
      </c>
      <c r="J205" s="39" t="s">
        <v>46</v>
      </c>
      <c r="K205" s="38">
        <v>78</v>
      </c>
      <c r="L205" s="80" t="s">
        <v>84</v>
      </c>
      <c r="M205" s="119">
        <v>28.875</v>
      </c>
      <c r="N205" s="35" t="s">
        <v>84</v>
      </c>
      <c r="O205" s="36">
        <v>1.25</v>
      </c>
      <c r="P205" s="36"/>
      <c r="Q205" s="36"/>
      <c r="R205" s="36"/>
      <c r="S205" s="36">
        <v>1</v>
      </c>
      <c r="T205" s="36"/>
      <c r="U205" s="71">
        <v>1</v>
      </c>
      <c r="V205" s="204"/>
      <c r="W205" s="50">
        <v>15.640625</v>
      </c>
      <c r="X205" s="50">
        <v>15.640625</v>
      </c>
      <c r="Y205" s="81">
        <v>15.640625</v>
      </c>
      <c r="Z205" s="50">
        <v>15.640625</v>
      </c>
      <c r="AA205" s="50">
        <v>1.45306161</v>
      </c>
      <c r="AB205" s="50">
        <v>1.45306161</v>
      </c>
      <c r="AC205" s="64">
        <v>4.01</v>
      </c>
      <c r="AD205" s="64"/>
      <c r="AE205" s="64"/>
      <c r="AF205" s="64"/>
      <c r="AG205" s="44">
        <v>254.71806757897502</v>
      </c>
      <c r="AH205" s="44">
        <v>115.518397995</v>
      </c>
    </row>
    <row r="206" spans="1:34" ht="22.5" customHeight="1">
      <c r="A206" s="89"/>
      <c r="B206" s="105"/>
      <c r="C206" s="33"/>
      <c r="D206" s="98"/>
      <c r="E206" s="98"/>
      <c r="F206" s="33"/>
      <c r="G206" s="33"/>
      <c r="H206" s="79"/>
      <c r="I206" s="79"/>
      <c r="J206" s="39"/>
      <c r="K206" s="38"/>
      <c r="L206" s="80"/>
      <c r="M206" s="119"/>
      <c r="N206" s="35"/>
      <c r="O206" s="36"/>
      <c r="P206" s="36"/>
      <c r="Q206" s="36"/>
      <c r="R206" s="36"/>
      <c r="S206" s="36"/>
      <c r="T206" s="36"/>
      <c r="U206" s="120">
        <f>SUBTOTAL(9,U201:U205)</f>
        <v>7</v>
      </c>
      <c r="V206" s="139"/>
      <c r="W206" s="129"/>
      <c r="X206" s="129"/>
      <c r="Y206" s="132"/>
      <c r="Z206" s="129"/>
      <c r="AA206" s="129"/>
      <c r="AB206" s="129"/>
      <c r="AC206" s="77"/>
      <c r="AD206" s="64"/>
      <c r="AE206" s="64"/>
      <c r="AF206" s="64"/>
      <c r="AG206" s="131">
        <f>SUBTOTAL(9,AG201:AG205)</f>
        <v>2883.5126430186237</v>
      </c>
      <c r="AH206" s="131">
        <f>SUBTOTAL(9,AH201:AH205)</f>
        <v>1307.7154843621877</v>
      </c>
    </row>
    <row r="207" spans="1:34" ht="22.5" customHeight="1">
      <c r="A207" s="89">
        <v>87</v>
      </c>
      <c r="B207" s="105" t="s">
        <v>72</v>
      </c>
      <c r="C207" s="33" t="s">
        <v>43</v>
      </c>
      <c r="D207" s="98">
        <v>7</v>
      </c>
      <c r="E207" s="98"/>
      <c r="F207" s="33" t="s">
        <v>54</v>
      </c>
      <c r="G207" s="33" t="s">
        <v>116</v>
      </c>
      <c r="H207" s="79" t="s">
        <v>58</v>
      </c>
      <c r="I207" s="79" t="s">
        <v>47</v>
      </c>
      <c r="J207" s="39" t="s">
        <v>46</v>
      </c>
      <c r="K207" s="34">
        <v>98.25</v>
      </c>
      <c r="L207" s="35" t="s">
        <v>84</v>
      </c>
      <c r="M207" s="35">
        <v>43.625</v>
      </c>
      <c r="N207" s="35" t="s">
        <v>84</v>
      </c>
      <c r="O207" s="36">
        <v>1.25</v>
      </c>
      <c r="P207" s="36"/>
      <c r="Q207" s="36"/>
      <c r="R207" s="36"/>
      <c r="S207" s="36">
        <v>3</v>
      </c>
      <c r="T207" s="36"/>
      <c r="U207" s="71">
        <v>3</v>
      </c>
      <c r="V207" s="202">
        <v>15</v>
      </c>
      <c r="W207" s="50">
        <v>29.764973958333332</v>
      </c>
      <c r="X207" s="50">
        <v>89.294921875</v>
      </c>
      <c r="Y207" s="109">
        <v>29.75</v>
      </c>
      <c r="Z207" s="50">
        <v>89.25</v>
      </c>
      <c r="AA207" s="50">
        <v>2.7652565662500002</v>
      </c>
      <c r="AB207" s="50">
        <v>8.29576969875</v>
      </c>
      <c r="AC207" s="64">
        <v>4.01</v>
      </c>
      <c r="AD207" s="64"/>
      <c r="AE207" s="64"/>
      <c r="AF207" s="64"/>
      <c r="AG207" s="44">
        <v>1454.227688766628</v>
      </c>
      <c r="AH207" s="44">
        <v>659.51369105062497</v>
      </c>
    </row>
    <row r="208" spans="1:34" ht="22.5" customHeight="1">
      <c r="A208" s="89">
        <v>88</v>
      </c>
      <c r="B208" s="105" t="s">
        <v>72</v>
      </c>
      <c r="C208" s="33" t="s">
        <v>65</v>
      </c>
      <c r="D208" s="98">
        <v>10</v>
      </c>
      <c r="E208" s="98"/>
      <c r="F208" s="33" t="s">
        <v>54</v>
      </c>
      <c r="G208" s="33" t="s">
        <v>116</v>
      </c>
      <c r="H208" s="79" t="s">
        <v>58</v>
      </c>
      <c r="I208" s="79" t="s">
        <v>47</v>
      </c>
      <c r="J208" s="39" t="s">
        <v>46</v>
      </c>
      <c r="K208" s="34">
        <v>98.25</v>
      </c>
      <c r="L208" s="38" t="s">
        <v>84</v>
      </c>
      <c r="M208" s="35">
        <v>43.625</v>
      </c>
      <c r="N208" s="35" t="s">
        <v>84</v>
      </c>
      <c r="O208" s="36">
        <v>1.25</v>
      </c>
      <c r="P208" s="36"/>
      <c r="Q208" s="36"/>
      <c r="R208" s="36"/>
      <c r="S208" s="36">
        <v>3</v>
      </c>
      <c r="T208" s="36"/>
      <c r="U208" s="71">
        <v>3</v>
      </c>
      <c r="V208" s="203"/>
      <c r="W208" s="50">
        <v>29.764973958333332</v>
      </c>
      <c r="X208" s="50">
        <v>89.294921875</v>
      </c>
      <c r="Y208" s="109">
        <v>29.75</v>
      </c>
      <c r="Z208" s="50">
        <v>89.25</v>
      </c>
      <c r="AA208" s="50">
        <v>2.7652565662500002</v>
      </c>
      <c r="AB208" s="50">
        <v>8.29576969875</v>
      </c>
      <c r="AC208" s="64">
        <v>4.01</v>
      </c>
      <c r="AD208" s="64"/>
      <c r="AE208" s="64"/>
      <c r="AF208" s="64"/>
      <c r="AG208" s="44">
        <v>1454.227688766628</v>
      </c>
      <c r="AH208" s="44">
        <v>659.51369105062497</v>
      </c>
    </row>
    <row r="209" spans="1:34" ht="22.5" customHeight="1">
      <c r="A209" s="89">
        <v>89</v>
      </c>
      <c r="B209" s="105" t="s">
        <v>73</v>
      </c>
      <c r="C209" s="33" t="s">
        <v>43</v>
      </c>
      <c r="D209" s="98">
        <v>13</v>
      </c>
      <c r="E209" s="98"/>
      <c r="F209" s="33" t="s">
        <v>54</v>
      </c>
      <c r="G209" s="33" t="s">
        <v>116</v>
      </c>
      <c r="H209" s="79" t="s">
        <v>45</v>
      </c>
      <c r="I209" s="79" t="s">
        <v>47</v>
      </c>
      <c r="J209" s="39" t="s">
        <v>46</v>
      </c>
      <c r="K209" s="34">
        <v>109.375</v>
      </c>
      <c r="L209" s="38" t="s">
        <v>84</v>
      </c>
      <c r="M209" s="35">
        <v>43.625</v>
      </c>
      <c r="N209" s="35" t="s">
        <v>84</v>
      </c>
      <c r="O209" s="36">
        <v>1.25</v>
      </c>
      <c r="P209" s="36"/>
      <c r="Q209" s="36"/>
      <c r="R209" s="36"/>
      <c r="S209" s="36">
        <v>1</v>
      </c>
      <c r="T209" s="36"/>
      <c r="U209" s="71">
        <v>1</v>
      </c>
      <c r="V209" s="204"/>
      <c r="W209" s="50">
        <v>33.135308159722221</v>
      </c>
      <c r="X209" s="50">
        <v>33.135308159722221</v>
      </c>
      <c r="Y209" s="109">
        <v>26.48</v>
      </c>
      <c r="Z209" s="50">
        <v>26.48</v>
      </c>
      <c r="AA209" s="50">
        <v>3.0783708593750001</v>
      </c>
      <c r="AB209" s="50">
        <v>3.0783708593750001</v>
      </c>
      <c r="AC209" s="64">
        <v>4.01</v>
      </c>
      <c r="AD209" s="64"/>
      <c r="AE209" s="64"/>
      <c r="AF209" s="64"/>
      <c r="AG209" s="44">
        <v>539.63071572128899</v>
      </c>
      <c r="AH209" s="44">
        <v>244.73048332031246</v>
      </c>
    </row>
    <row r="210" spans="1:34" ht="22.5" customHeight="1">
      <c r="A210" s="89"/>
      <c r="B210" s="105"/>
      <c r="C210" s="33"/>
      <c r="D210" s="98"/>
      <c r="E210" s="98"/>
      <c r="F210" s="33"/>
      <c r="G210" s="33"/>
      <c r="H210" s="79"/>
      <c r="I210" s="79"/>
      <c r="J210" s="39"/>
      <c r="K210" s="38"/>
      <c r="L210" s="121"/>
      <c r="M210" s="38"/>
      <c r="N210" s="35"/>
      <c r="O210" s="36"/>
      <c r="P210" s="36"/>
      <c r="Q210" s="36"/>
      <c r="R210" s="36"/>
      <c r="S210" s="36"/>
      <c r="T210" s="36"/>
      <c r="U210" s="120">
        <f>SUBTOTAL(9,U207:U209)</f>
        <v>7</v>
      </c>
      <c r="V210" s="139"/>
      <c r="W210" s="129"/>
      <c r="X210" s="129"/>
      <c r="Y210" s="130"/>
      <c r="Z210" s="129"/>
      <c r="AA210" s="129"/>
      <c r="AB210" s="129"/>
      <c r="AC210" s="77"/>
      <c r="AD210" s="64"/>
      <c r="AE210" s="64"/>
      <c r="AF210" s="64"/>
      <c r="AG210" s="131">
        <f>SUBTOTAL(9,AG207:AG209)</f>
        <v>3448.0860932545452</v>
      </c>
      <c r="AH210" s="131">
        <f>SUBTOTAL(9,AH207:AH209)</f>
        <v>1563.7578654215624</v>
      </c>
    </row>
    <row r="211" spans="1:34" ht="22.5" customHeight="1">
      <c r="A211" s="89">
        <v>90</v>
      </c>
      <c r="B211" s="104" t="s">
        <v>71</v>
      </c>
      <c r="C211" s="33" t="s">
        <v>65</v>
      </c>
      <c r="D211" s="98">
        <v>5</v>
      </c>
      <c r="E211" s="98"/>
      <c r="F211" s="33" t="s">
        <v>54</v>
      </c>
      <c r="G211" s="33" t="s">
        <v>116</v>
      </c>
      <c r="H211" s="79" t="s">
        <v>58</v>
      </c>
      <c r="I211" s="79" t="s">
        <v>47</v>
      </c>
      <c r="J211" s="39" t="s">
        <v>46</v>
      </c>
      <c r="K211" s="38">
        <v>87.25</v>
      </c>
      <c r="L211" s="80" t="s">
        <v>84</v>
      </c>
      <c r="M211" s="38">
        <v>43.625</v>
      </c>
      <c r="N211" s="35" t="s">
        <v>84</v>
      </c>
      <c r="O211" s="36">
        <v>1.25</v>
      </c>
      <c r="P211" s="36"/>
      <c r="Q211" s="36"/>
      <c r="R211" s="36"/>
      <c r="S211" s="36"/>
      <c r="T211" s="36">
        <v>1</v>
      </c>
      <c r="U211" s="71">
        <v>1</v>
      </c>
      <c r="V211" s="202">
        <v>16</v>
      </c>
      <c r="W211" s="50">
        <v>26.432508680555557</v>
      </c>
      <c r="X211" s="50">
        <v>26.432508680555557</v>
      </c>
      <c r="Y211" s="109">
        <v>26.42</v>
      </c>
      <c r="Z211" s="50">
        <v>26.42</v>
      </c>
      <c r="AA211" s="50">
        <v>2.4556604112500002</v>
      </c>
      <c r="AB211" s="50">
        <v>2.4556604112500002</v>
      </c>
      <c r="AC211" s="64">
        <v>4.01</v>
      </c>
      <c r="AD211" s="64"/>
      <c r="AE211" s="64"/>
      <c r="AF211" s="64"/>
      <c r="AG211" s="44">
        <v>430.47113094109693</v>
      </c>
      <c r="AH211" s="44">
        <v>195.22500269437501</v>
      </c>
    </row>
    <row r="212" spans="1:34" ht="22.5" customHeight="1">
      <c r="A212" s="89">
        <v>91</v>
      </c>
      <c r="B212" s="105" t="s">
        <v>73</v>
      </c>
      <c r="C212" s="33" t="s">
        <v>65</v>
      </c>
      <c r="D212" s="98">
        <v>16</v>
      </c>
      <c r="E212" s="98"/>
      <c r="F212" s="33" t="s">
        <v>54</v>
      </c>
      <c r="G212" s="33" t="s">
        <v>116</v>
      </c>
      <c r="H212" s="79" t="s">
        <v>45</v>
      </c>
      <c r="I212" s="79" t="s">
        <v>47</v>
      </c>
      <c r="J212" s="39" t="s">
        <v>46</v>
      </c>
      <c r="K212" s="34">
        <v>109.375</v>
      </c>
      <c r="L212" s="35" t="s">
        <v>84</v>
      </c>
      <c r="M212" s="35">
        <v>43.625</v>
      </c>
      <c r="N212" s="35" t="s">
        <v>84</v>
      </c>
      <c r="O212" s="36">
        <v>1.25</v>
      </c>
      <c r="P212" s="36"/>
      <c r="Q212" s="36"/>
      <c r="R212" s="36"/>
      <c r="S212" s="36">
        <v>3</v>
      </c>
      <c r="T212" s="36"/>
      <c r="U212" s="71">
        <v>3</v>
      </c>
      <c r="V212" s="203"/>
      <c r="W212" s="50">
        <v>33.135308159722221</v>
      </c>
      <c r="X212" s="50">
        <v>99.405924479166657</v>
      </c>
      <c r="Y212" s="109">
        <v>26.48</v>
      </c>
      <c r="Z212" s="50">
        <v>79.44</v>
      </c>
      <c r="AA212" s="50">
        <v>3.0783708593750001</v>
      </c>
      <c r="AB212" s="50">
        <v>9.2351125781250012</v>
      </c>
      <c r="AC212" s="64">
        <v>4.01</v>
      </c>
      <c r="AD212" s="64"/>
      <c r="AE212" s="64"/>
      <c r="AF212" s="64"/>
      <c r="AG212" s="44">
        <v>1618.8921471638673</v>
      </c>
      <c r="AH212" s="44">
        <v>734.19144996093758</v>
      </c>
    </row>
    <row r="213" spans="1:34" ht="22.5" customHeight="1">
      <c r="A213" s="89">
        <v>92</v>
      </c>
      <c r="B213" s="105" t="s">
        <v>73</v>
      </c>
      <c r="C213" s="33" t="s">
        <v>65</v>
      </c>
      <c r="D213" s="98">
        <v>16</v>
      </c>
      <c r="E213" s="98"/>
      <c r="F213" s="33" t="s">
        <v>54</v>
      </c>
      <c r="G213" s="33" t="s">
        <v>116</v>
      </c>
      <c r="H213" s="79" t="s">
        <v>45</v>
      </c>
      <c r="I213" s="79" t="s">
        <v>47</v>
      </c>
      <c r="J213" s="39" t="s">
        <v>46</v>
      </c>
      <c r="K213" s="34">
        <v>109.375</v>
      </c>
      <c r="L213" s="38" t="s">
        <v>84</v>
      </c>
      <c r="M213" s="35">
        <v>43.625</v>
      </c>
      <c r="N213" s="35" t="s">
        <v>84</v>
      </c>
      <c r="O213" s="36">
        <v>1.25</v>
      </c>
      <c r="P213" s="36"/>
      <c r="Q213" s="36"/>
      <c r="R213" s="36"/>
      <c r="S213" s="36"/>
      <c r="T213" s="36">
        <v>1</v>
      </c>
      <c r="U213" s="71">
        <v>1</v>
      </c>
      <c r="V213" s="203"/>
      <c r="W213" s="50">
        <v>33.135308159722221</v>
      </c>
      <c r="X213" s="50">
        <v>33.135308159722221</v>
      </c>
      <c r="Y213" s="109">
        <v>26.48</v>
      </c>
      <c r="Z213" s="50">
        <v>26.48</v>
      </c>
      <c r="AA213" s="50">
        <v>3.0783708593750001</v>
      </c>
      <c r="AB213" s="50">
        <v>3.0783708593750001</v>
      </c>
      <c r="AC213" s="64">
        <v>4.01</v>
      </c>
      <c r="AD213" s="64"/>
      <c r="AE213" s="64"/>
      <c r="AF213" s="64"/>
      <c r="AG213" s="44">
        <v>539.63071572128899</v>
      </c>
      <c r="AH213" s="44">
        <v>244.73048332031246</v>
      </c>
    </row>
    <row r="214" spans="1:34" ht="22.5" customHeight="1">
      <c r="A214" s="89">
        <v>93</v>
      </c>
      <c r="B214" s="105" t="s">
        <v>75</v>
      </c>
      <c r="C214" s="33" t="s">
        <v>65</v>
      </c>
      <c r="D214" s="98">
        <v>29</v>
      </c>
      <c r="E214" s="98"/>
      <c r="F214" s="33" t="s">
        <v>54</v>
      </c>
      <c r="G214" s="33" t="s">
        <v>116</v>
      </c>
      <c r="H214" s="79" t="s">
        <v>58</v>
      </c>
      <c r="I214" s="79" t="s">
        <v>47</v>
      </c>
      <c r="J214" s="39" t="s">
        <v>46</v>
      </c>
      <c r="K214" s="34">
        <v>78</v>
      </c>
      <c r="L214" s="38" t="s">
        <v>84</v>
      </c>
      <c r="M214" s="108">
        <v>29.75</v>
      </c>
      <c r="N214" s="35" t="s">
        <v>84</v>
      </c>
      <c r="O214" s="36">
        <v>1.25</v>
      </c>
      <c r="P214" s="36"/>
      <c r="Q214" s="36"/>
      <c r="R214" s="36"/>
      <c r="S214" s="36"/>
      <c r="T214" s="36">
        <v>1</v>
      </c>
      <c r="U214" s="71">
        <v>1</v>
      </c>
      <c r="V214" s="203"/>
      <c r="W214" s="50">
        <v>16.114583333333332</v>
      </c>
      <c r="X214" s="50">
        <v>16.114583333333332</v>
      </c>
      <c r="Y214" s="109">
        <v>11.74</v>
      </c>
      <c r="Z214" s="50">
        <v>11.74</v>
      </c>
      <c r="AA214" s="50">
        <v>1.4970937799999999</v>
      </c>
      <c r="AB214" s="50">
        <v>1.4970937799999999</v>
      </c>
      <c r="AC214" s="64">
        <v>4.01</v>
      </c>
      <c r="AD214" s="64"/>
      <c r="AE214" s="64"/>
      <c r="AF214" s="64"/>
      <c r="AG214" s="44">
        <v>262.43679689954996</v>
      </c>
      <c r="AH214" s="44">
        <v>119.01895550999998</v>
      </c>
    </row>
    <row r="215" spans="1:34" ht="22.5" customHeight="1">
      <c r="A215" s="89">
        <v>94</v>
      </c>
      <c r="B215" s="104" t="s">
        <v>75</v>
      </c>
      <c r="C215" s="33" t="s">
        <v>65</v>
      </c>
      <c r="D215" s="98">
        <v>29</v>
      </c>
      <c r="E215" s="98"/>
      <c r="F215" s="33" t="s">
        <v>54</v>
      </c>
      <c r="G215" s="33" t="s">
        <v>116</v>
      </c>
      <c r="H215" s="79" t="s">
        <v>58</v>
      </c>
      <c r="I215" s="79" t="s">
        <v>47</v>
      </c>
      <c r="J215" s="39" t="s">
        <v>46</v>
      </c>
      <c r="K215" s="38">
        <v>78</v>
      </c>
      <c r="L215" s="80" t="s">
        <v>84</v>
      </c>
      <c r="M215" s="119">
        <v>28.875</v>
      </c>
      <c r="N215" s="35" t="s">
        <v>84</v>
      </c>
      <c r="O215" s="36">
        <v>1.25</v>
      </c>
      <c r="P215" s="36"/>
      <c r="Q215" s="36"/>
      <c r="R215" s="36"/>
      <c r="S215" s="36"/>
      <c r="T215" s="36">
        <v>1</v>
      </c>
      <c r="U215" s="71">
        <v>1</v>
      </c>
      <c r="V215" s="204"/>
      <c r="W215" s="50">
        <v>15.640625</v>
      </c>
      <c r="X215" s="50">
        <v>15.640625</v>
      </c>
      <c r="Y215" s="81">
        <v>15.640625</v>
      </c>
      <c r="Z215" s="50">
        <v>15.640625</v>
      </c>
      <c r="AA215" s="50">
        <v>1.45306161</v>
      </c>
      <c r="AB215" s="50">
        <v>1.45306161</v>
      </c>
      <c r="AC215" s="64">
        <v>4.01</v>
      </c>
      <c r="AD215" s="64"/>
      <c r="AE215" s="64"/>
      <c r="AF215" s="64"/>
      <c r="AG215" s="44">
        <v>254.71806757897502</v>
      </c>
      <c r="AH215" s="44">
        <v>115.518397995</v>
      </c>
    </row>
    <row r="216" spans="1:34" ht="22.5" customHeight="1">
      <c r="A216" s="89"/>
      <c r="B216" s="105"/>
      <c r="C216" s="33"/>
      <c r="D216" s="98"/>
      <c r="E216" s="98"/>
      <c r="F216" s="33"/>
      <c r="G216" s="33"/>
      <c r="H216" s="79"/>
      <c r="I216" s="79"/>
      <c r="J216" s="39"/>
      <c r="K216" s="38"/>
      <c r="L216" s="80"/>
      <c r="M216" s="119"/>
      <c r="N216" s="35"/>
      <c r="O216" s="36"/>
      <c r="P216" s="36"/>
      <c r="Q216" s="36"/>
      <c r="R216" s="36"/>
      <c r="S216" s="36"/>
      <c r="T216" s="36"/>
      <c r="U216" s="120">
        <f>SUBTOTAL(9,U211:U215)</f>
        <v>7</v>
      </c>
      <c r="V216" s="139"/>
      <c r="W216" s="129"/>
      <c r="X216" s="129"/>
      <c r="Y216" s="132"/>
      <c r="Z216" s="129"/>
      <c r="AA216" s="129"/>
      <c r="AB216" s="129"/>
      <c r="AC216" s="77"/>
      <c r="AD216" s="64"/>
      <c r="AE216" s="64"/>
      <c r="AF216" s="64"/>
      <c r="AG216" s="131">
        <f>SUBTOTAL(9,AG211:AG215)</f>
        <v>3106.1488583047781</v>
      </c>
      <c r="AH216" s="131">
        <f>SUBTOTAL(9,AH211:AH215)</f>
        <v>1408.684289480625</v>
      </c>
    </row>
    <row r="217" spans="1:34" ht="22.5" customHeight="1">
      <c r="A217" s="89">
        <v>95</v>
      </c>
      <c r="B217" s="105" t="s">
        <v>70</v>
      </c>
      <c r="C217" s="33" t="s">
        <v>43</v>
      </c>
      <c r="D217" s="98">
        <v>1</v>
      </c>
      <c r="E217" s="98"/>
      <c r="F217" s="33" t="s">
        <v>54</v>
      </c>
      <c r="G217" s="33" t="s">
        <v>116</v>
      </c>
      <c r="H217" s="79" t="s">
        <v>58</v>
      </c>
      <c r="I217" s="79" t="s">
        <v>47</v>
      </c>
      <c r="J217" s="39" t="s">
        <v>46</v>
      </c>
      <c r="K217" s="34">
        <v>22.75</v>
      </c>
      <c r="L217" s="35" t="s">
        <v>84</v>
      </c>
      <c r="M217" s="35">
        <v>25.5</v>
      </c>
      <c r="N217" s="35" t="s">
        <v>84</v>
      </c>
      <c r="O217" s="36">
        <v>1.25</v>
      </c>
      <c r="P217" s="36"/>
      <c r="Q217" s="36"/>
      <c r="R217" s="36">
        <v>2</v>
      </c>
      <c r="S217" s="36"/>
      <c r="T217" s="36"/>
      <c r="U217" s="71">
        <v>2</v>
      </c>
      <c r="V217" s="202">
        <v>17</v>
      </c>
      <c r="W217" s="50">
        <v>4.028645833333333</v>
      </c>
      <c r="X217" s="50">
        <v>8.0572916666666661</v>
      </c>
      <c r="Y217" s="81">
        <v>4.028645833333333</v>
      </c>
      <c r="Z217" s="50">
        <v>8.0572916666666661</v>
      </c>
      <c r="AA217" s="50">
        <v>0.37427344499999998</v>
      </c>
      <c r="AB217" s="50">
        <v>0.74854688999999996</v>
      </c>
      <c r="AC217" s="64">
        <v>3.71</v>
      </c>
      <c r="AD217" s="64"/>
      <c r="AE217" s="64"/>
      <c r="AF217" s="64"/>
      <c r="AG217" s="44">
        <v>131.21839844977498</v>
      </c>
      <c r="AH217" s="44">
        <v>59.509477754999992</v>
      </c>
    </row>
    <row r="218" spans="1:34" ht="22.5" customHeight="1">
      <c r="A218" s="89">
        <v>96</v>
      </c>
      <c r="B218" s="105" t="s">
        <v>70</v>
      </c>
      <c r="C218" s="33" t="s">
        <v>43</v>
      </c>
      <c r="D218" s="98">
        <v>1</v>
      </c>
      <c r="E218" s="98"/>
      <c r="F218" s="33" t="s">
        <v>54</v>
      </c>
      <c r="G218" s="33" t="s">
        <v>116</v>
      </c>
      <c r="H218" s="79" t="s">
        <v>58</v>
      </c>
      <c r="I218" s="79" t="s">
        <v>47</v>
      </c>
      <c r="J218" s="39" t="s">
        <v>46</v>
      </c>
      <c r="K218" s="34">
        <v>45.75</v>
      </c>
      <c r="L218" s="38" t="s">
        <v>84</v>
      </c>
      <c r="M218" s="35">
        <v>25.5</v>
      </c>
      <c r="N218" s="35" t="s">
        <v>84</v>
      </c>
      <c r="O218" s="36">
        <v>1.25</v>
      </c>
      <c r="P218" s="36"/>
      <c r="Q218" s="36"/>
      <c r="R218" s="36">
        <v>2</v>
      </c>
      <c r="S218" s="36"/>
      <c r="T218" s="36"/>
      <c r="U218" s="71">
        <v>2</v>
      </c>
      <c r="V218" s="203"/>
      <c r="W218" s="50">
        <v>8.1015625</v>
      </c>
      <c r="X218" s="50">
        <v>16.203125</v>
      </c>
      <c r="Y218" s="81">
        <v>8.1015625</v>
      </c>
      <c r="Z218" s="50">
        <v>16.203125</v>
      </c>
      <c r="AA218" s="50">
        <v>0.75265978500000008</v>
      </c>
      <c r="AB218" s="50">
        <v>1.5053195700000002</v>
      </c>
      <c r="AC218" s="64">
        <v>3.71</v>
      </c>
      <c r="AD218" s="64"/>
      <c r="AE218" s="64"/>
      <c r="AF218" s="64"/>
      <c r="AG218" s="44">
        <v>263.87875732207499</v>
      </c>
      <c r="AH218" s="44">
        <v>119.67290581499999</v>
      </c>
    </row>
    <row r="219" spans="1:34" ht="22.5" customHeight="1">
      <c r="A219" s="89">
        <v>97</v>
      </c>
      <c r="B219" s="105" t="s">
        <v>70</v>
      </c>
      <c r="C219" s="33" t="s">
        <v>43</v>
      </c>
      <c r="D219" s="98">
        <v>1</v>
      </c>
      <c r="E219" s="98"/>
      <c r="F219" s="33" t="s">
        <v>54</v>
      </c>
      <c r="G219" s="33" t="s">
        <v>116</v>
      </c>
      <c r="H219" s="79" t="s">
        <v>58</v>
      </c>
      <c r="I219" s="79" t="s">
        <v>47</v>
      </c>
      <c r="J219" s="39" t="s">
        <v>46</v>
      </c>
      <c r="K219" s="34">
        <v>19.5</v>
      </c>
      <c r="L219" s="38" t="s">
        <v>84</v>
      </c>
      <c r="M219" s="35">
        <v>25.5</v>
      </c>
      <c r="N219" s="35" t="s">
        <v>84</v>
      </c>
      <c r="O219" s="36">
        <v>1.25</v>
      </c>
      <c r="P219" s="36"/>
      <c r="Q219" s="36"/>
      <c r="R219" s="36">
        <v>2</v>
      </c>
      <c r="S219" s="36"/>
      <c r="T219" s="36"/>
      <c r="U219" s="71">
        <v>2</v>
      </c>
      <c r="V219" s="203"/>
      <c r="W219" s="50">
        <v>3.453125</v>
      </c>
      <c r="X219" s="50">
        <v>6.90625</v>
      </c>
      <c r="Y219" s="81">
        <v>3.453125</v>
      </c>
      <c r="Z219" s="50">
        <v>6.90625</v>
      </c>
      <c r="AA219" s="50">
        <v>0.32080581000000002</v>
      </c>
      <c r="AB219" s="50">
        <v>0.64161162000000005</v>
      </c>
      <c r="AC219" s="64">
        <v>3.71</v>
      </c>
      <c r="AD219" s="64"/>
      <c r="AE219" s="64"/>
      <c r="AF219" s="64"/>
      <c r="AG219" s="44">
        <v>112.47291295695</v>
      </c>
      <c r="AH219" s="44">
        <v>51.008123789999999</v>
      </c>
    </row>
    <row r="220" spans="1:34" ht="22.5" customHeight="1">
      <c r="A220" s="89">
        <v>98</v>
      </c>
      <c r="B220" s="104" t="s">
        <v>70</v>
      </c>
      <c r="C220" s="33" t="s">
        <v>65</v>
      </c>
      <c r="D220" s="98">
        <v>3</v>
      </c>
      <c r="E220" s="98"/>
      <c r="F220" s="33" t="s">
        <v>54</v>
      </c>
      <c r="G220" s="33" t="s">
        <v>116</v>
      </c>
      <c r="H220" s="79" t="s">
        <v>58</v>
      </c>
      <c r="I220" s="79" t="s">
        <v>47</v>
      </c>
      <c r="J220" s="39" t="s">
        <v>46</v>
      </c>
      <c r="K220" s="38">
        <v>22.75</v>
      </c>
      <c r="L220" s="80" t="s">
        <v>84</v>
      </c>
      <c r="M220" s="38">
        <v>25.5</v>
      </c>
      <c r="N220" s="35" t="s">
        <v>84</v>
      </c>
      <c r="O220" s="36">
        <v>1.25</v>
      </c>
      <c r="P220" s="36"/>
      <c r="Q220" s="36"/>
      <c r="R220" s="36">
        <v>3</v>
      </c>
      <c r="S220" s="36"/>
      <c r="T220" s="36"/>
      <c r="U220" s="71">
        <v>3</v>
      </c>
      <c r="V220" s="203"/>
      <c r="W220" s="50">
        <v>4.028645833333333</v>
      </c>
      <c r="X220" s="50">
        <v>12.0859375</v>
      </c>
      <c r="Y220" s="81">
        <v>4.028645833333333</v>
      </c>
      <c r="Z220" s="50">
        <v>12.0859375</v>
      </c>
      <c r="AA220" s="50">
        <v>0.37427344499999998</v>
      </c>
      <c r="AB220" s="50">
        <v>1.1228203349999999</v>
      </c>
      <c r="AC220" s="64">
        <v>3.71</v>
      </c>
      <c r="AD220" s="64"/>
      <c r="AE220" s="64"/>
      <c r="AF220" s="64"/>
      <c r="AG220" s="44">
        <v>196.82759767466248</v>
      </c>
      <c r="AH220" s="44">
        <v>89.264216632499995</v>
      </c>
    </row>
    <row r="221" spans="1:34" ht="22.5" customHeight="1">
      <c r="A221" s="89">
        <v>99</v>
      </c>
      <c r="B221" s="105" t="s">
        <v>70</v>
      </c>
      <c r="C221" s="33" t="s">
        <v>65</v>
      </c>
      <c r="D221" s="98">
        <v>3</v>
      </c>
      <c r="E221" s="98"/>
      <c r="F221" s="33" t="s">
        <v>54</v>
      </c>
      <c r="G221" s="33" t="s">
        <v>116</v>
      </c>
      <c r="H221" s="79" t="s">
        <v>58</v>
      </c>
      <c r="I221" s="79" t="s">
        <v>47</v>
      </c>
      <c r="J221" s="39" t="s">
        <v>46</v>
      </c>
      <c r="K221" s="34">
        <v>45.75</v>
      </c>
      <c r="L221" s="35" t="s">
        <v>84</v>
      </c>
      <c r="M221" s="35">
        <v>25.5</v>
      </c>
      <c r="N221" s="35" t="s">
        <v>84</v>
      </c>
      <c r="O221" s="36">
        <v>1.25</v>
      </c>
      <c r="P221" s="36"/>
      <c r="Q221" s="36"/>
      <c r="R221" s="36">
        <v>3</v>
      </c>
      <c r="S221" s="36"/>
      <c r="T221" s="36"/>
      <c r="U221" s="71">
        <v>3</v>
      </c>
      <c r="V221" s="203"/>
      <c r="W221" s="50">
        <v>8.1015625</v>
      </c>
      <c r="X221" s="50">
        <v>24.3046875</v>
      </c>
      <c r="Y221" s="81">
        <v>8.1015625</v>
      </c>
      <c r="Z221" s="50">
        <v>24.3046875</v>
      </c>
      <c r="AA221" s="50">
        <v>0.75265978500000008</v>
      </c>
      <c r="AB221" s="50">
        <v>2.2579793550000002</v>
      </c>
      <c r="AC221" s="64">
        <v>3.71</v>
      </c>
      <c r="AD221" s="64"/>
      <c r="AE221" s="64"/>
      <c r="AF221" s="64"/>
      <c r="AG221" s="44">
        <v>395.81813598311254</v>
      </c>
      <c r="AH221" s="44">
        <v>179.50935872250002</v>
      </c>
    </row>
    <row r="222" spans="1:34" ht="22.5" customHeight="1">
      <c r="A222" s="89">
        <v>100</v>
      </c>
      <c r="B222" s="105" t="s">
        <v>70</v>
      </c>
      <c r="C222" s="33" t="s">
        <v>65</v>
      </c>
      <c r="D222" s="98">
        <v>3</v>
      </c>
      <c r="E222" s="98"/>
      <c r="F222" s="33" t="s">
        <v>54</v>
      </c>
      <c r="G222" s="33" t="s">
        <v>116</v>
      </c>
      <c r="H222" s="79" t="s">
        <v>58</v>
      </c>
      <c r="I222" s="79" t="s">
        <v>47</v>
      </c>
      <c r="J222" s="39" t="s">
        <v>46</v>
      </c>
      <c r="K222" s="34">
        <v>19.5</v>
      </c>
      <c r="L222" s="38" t="s">
        <v>84</v>
      </c>
      <c r="M222" s="35">
        <v>25.5</v>
      </c>
      <c r="N222" s="35" t="s">
        <v>84</v>
      </c>
      <c r="O222" s="36">
        <v>1.25</v>
      </c>
      <c r="P222" s="36"/>
      <c r="Q222" s="36"/>
      <c r="R222" s="36">
        <v>3</v>
      </c>
      <c r="S222" s="36"/>
      <c r="T222" s="36"/>
      <c r="U222" s="71">
        <v>3</v>
      </c>
      <c r="V222" s="203"/>
      <c r="W222" s="50">
        <v>3.453125</v>
      </c>
      <c r="X222" s="50">
        <v>10.359375</v>
      </c>
      <c r="Y222" s="81">
        <v>3.453125</v>
      </c>
      <c r="Z222" s="50">
        <v>10.359375</v>
      </c>
      <c r="AA222" s="50">
        <v>0.32080581000000002</v>
      </c>
      <c r="AB222" s="50">
        <v>0.96241743000000013</v>
      </c>
      <c r="AC222" s="64">
        <v>3.71</v>
      </c>
      <c r="AD222" s="64"/>
      <c r="AE222" s="64"/>
      <c r="AF222" s="64"/>
      <c r="AG222" s="44">
        <v>168.70936943542503</v>
      </c>
      <c r="AH222" s="44">
        <v>76.512185685000006</v>
      </c>
    </row>
    <row r="223" spans="1:34" ht="22.5" customHeight="1">
      <c r="A223" s="89">
        <v>101</v>
      </c>
      <c r="B223" s="105" t="s">
        <v>72</v>
      </c>
      <c r="C223" s="33" t="s">
        <v>43</v>
      </c>
      <c r="D223" s="98">
        <v>7</v>
      </c>
      <c r="E223" s="98"/>
      <c r="F223" s="33" t="s">
        <v>54</v>
      </c>
      <c r="G223" s="33" t="s">
        <v>116</v>
      </c>
      <c r="H223" s="79" t="s">
        <v>58</v>
      </c>
      <c r="I223" s="79" t="s">
        <v>47</v>
      </c>
      <c r="J223" s="39" t="s">
        <v>46</v>
      </c>
      <c r="K223" s="34">
        <v>34.5</v>
      </c>
      <c r="L223" s="38" t="s">
        <v>84</v>
      </c>
      <c r="M223" s="35">
        <v>25.5</v>
      </c>
      <c r="N223" s="35" t="s">
        <v>84</v>
      </c>
      <c r="O223" s="36">
        <v>1.25</v>
      </c>
      <c r="P223" s="36"/>
      <c r="Q223" s="36"/>
      <c r="R223" s="36">
        <v>3</v>
      </c>
      <c r="S223" s="36"/>
      <c r="T223" s="36"/>
      <c r="U223" s="71">
        <v>3</v>
      </c>
      <c r="V223" s="203"/>
      <c r="W223" s="50">
        <v>6.109375</v>
      </c>
      <c r="X223" s="50">
        <v>18.328125</v>
      </c>
      <c r="Y223" s="81">
        <v>6.109375</v>
      </c>
      <c r="Z223" s="50">
        <v>18.328125</v>
      </c>
      <c r="AA223" s="50">
        <v>0.56757951000000006</v>
      </c>
      <c r="AB223" s="50">
        <v>1.7027385300000002</v>
      </c>
      <c r="AC223" s="64">
        <v>3.71</v>
      </c>
      <c r="AD223" s="64"/>
      <c r="AE223" s="64"/>
      <c r="AF223" s="64"/>
      <c r="AG223" s="44">
        <v>298.48580746267504</v>
      </c>
      <c r="AH223" s="44">
        <v>135.367713135</v>
      </c>
    </row>
    <row r="224" spans="1:34" ht="22.5" customHeight="1">
      <c r="A224" s="89">
        <v>102</v>
      </c>
      <c r="B224" s="104" t="s">
        <v>72</v>
      </c>
      <c r="C224" s="33" t="s">
        <v>43</v>
      </c>
      <c r="D224" s="98">
        <v>7</v>
      </c>
      <c r="E224" s="98"/>
      <c r="F224" s="33" t="s">
        <v>54</v>
      </c>
      <c r="G224" s="33" t="s">
        <v>116</v>
      </c>
      <c r="H224" s="79" t="s">
        <v>45</v>
      </c>
      <c r="I224" s="79" t="s">
        <v>47</v>
      </c>
      <c r="J224" s="39" t="s">
        <v>46</v>
      </c>
      <c r="K224" s="38">
        <v>39</v>
      </c>
      <c r="L224" s="80" t="s">
        <v>84</v>
      </c>
      <c r="M224" s="38">
        <v>25.5</v>
      </c>
      <c r="N224" s="35" t="s">
        <v>84</v>
      </c>
      <c r="O224" s="36">
        <v>1.25</v>
      </c>
      <c r="P224" s="36"/>
      <c r="Q224" s="36"/>
      <c r="R224" s="36">
        <v>3</v>
      </c>
      <c r="S224" s="36"/>
      <c r="T224" s="36"/>
      <c r="U224" s="71">
        <v>3</v>
      </c>
      <c r="V224" s="203"/>
      <c r="W224" s="50">
        <v>6.90625</v>
      </c>
      <c r="X224" s="50">
        <v>20.71875</v>
      </c>
      <c r="Y224" s="81">
        <v>6.90625</v>
      </c>
      <c r="Z224" s="50">
        <v>20.71875</v>
      </c>
      <c r="AA224" s="50">
        <v>0.64161162000000005</v>
      </c>
      <c r="AB224" s="50">
        <v>1.9248348600000003</v>
      </c>
      <c r="AC224" s="64">
        <v>3.71</v>
      </c>
      <c r="AD224" s="64"/>
      <c r="AE224" s="64"/>
      <c r="AF224" s="64"/>
      <c r="AG224" s="44">
        <v>337.41873887085006</v>
      </c>
      <c r="AH224" s="44">
        <v>153.02437137000001</v>
      </c>
    </row>
    <row r="225" spans="1:34" ht="22.5" customHeight="1">
      <c r="A225" s="89">
        <v>103</v>
      </c>
      <c r="B225" s="105" t="s">
        <v>76</v>
      </c>
      <c r="C225" s="33" t="s">
        <v>65</v>
      </c>
      <c r="D225" s="98">
        <v>44</v>
      </c>
      <c r="E225" s="98"/>
      <c r="F225" s="33" t="s">
        <v>54</v>
      </c>
      <c r="G225" s="33" t="s">
        <v>116</v>
      </c>
      <c r="H225" s="79" t="s">
        <v>58</v>
      </c>
      <c r="I225" s="79" t="s">
        <v>47</v>
      </c>
      <c r="J225" s="39" t="s">
        <v>46</v>
      </c>
      <c r="K225" s="34">
        <v>13.875</v>
      </c>
      <c r="L225" s="35" t="s">
        <v>84</v>
      </c>
      <c r="M225" s="35">
        <v>25.5</v>
      </c>
      <c r="N225" s="35" t="s">
        <v>84</v>
      </c>
      <c r="O225" s="36">
        <v>1.25</v>
      </c>
      <c r="P225" s="36"/>
      <c r="Q225" s="36"/>
      <c r="R225" s="36">
        <v>1</v>
      </c>
      <c r="S225" s="36"/>
      <c r="T225" s="36"/>
      <c r="U225" s="71">
        <v>1</v>
      </c>
      <c r="V225" s="203"/>
      <c r="W225" s="50">
        <v>2.45703125</v>
      </c>
      <c r="X225" s="50">
        <v>2.45703125</v>
      </c>
      <c r="Y225" s="81">
        <v>2.45703125</v>
      </c>
      <c r="Z225" s="50">
        <v>2.45703125</v>
      </c>
      <c r="AA225" s="50">
        <v>0.22826567250000002</v>
      </c>
      <c r="AB225" s="50">
        <v>0.22826567250000002</v>
      </c>
      <c r="AC225" s="64">
        <v>3.71</v>
      </c>
      <c r="AD225" s="64"/>
      <c r="AE225" s="64"/>
      <c r="AF225" s="64"/>
      <c r="AG225" s="44">
        <v>40.014401725068744</v>
      </c>
      <c r="AH225" s="44">
        <v>18.147120963749998</v>
      </c>
    </row>
    <row r="226" spans="1:34" ht="22.5" customHeight="1">
      <c r="A226" s="89">
        <v>104</v>
      </c>
      <c r="B226" s="105" t="s">
        <v>76</v>
      </c>
      <c r="C226" s="33" t="s">
        <v>65</v>
      </c>
      <c r="D226" s="98">
        <v>44</v>
      </c>
      <c r="E226" s="98"/>
      <c r="F226" s="33" t="s">
        <v>54</v>
      </c>
      <c r="G226" s="33" t="s">
        <v>116</v>
      </c>
      <c r="H226" s="79" t="s">
        <v>45</v>
      </c>
      <c r="I226" s="79" t="s">
        <v>47</v>
      </c>
      <c r="J226" s="39" t="s">
        <v>46</v>
      </c>
      <c r="K226" s="34">
        <v>39.25</v>
      </c>
      <c r="L226" s="38" t="s">
        <v>84</v>
      </c>
      <c r="M226" s="35">
        <v>25.5</v>
      </c>
      <c r="N226" s="35" t="s">
        <v>84</v>
      </c>
      <c r="O226" s="36">
        <v>1.25</v>
      </c>
      <c r="P226" s="36"/>
      <c r="Q226" s="36"/>
      <c r="R226" s="36">
        <v>1</v>
      </c>
      <c r="S226" s="36"/>
      <c r="T226" s="36"/>
      <c r="U226" s="71">
        <v>1</v>
      </c>
      <c r="V226" s="203"/>
      <c r="W226" s="50">
        <v>6.950520833333333</v>
      </c>
      <c r="X226" s="50">
        <v>6.950520833333333</v>
      </c>
      <c r="Y226" s="81">
        <v>6.950520833333333</v>
      </c>
      <c r="Z226" s="50">
        <v>6.950520833333333</v>
      </c>
      <c r="AA226" s="50">
        <v>0.64572451500000005</v>
      </c>
      <c r="AB226" s="50">
        <v>0.64572451500000005</v>
      </c>
      <c r="AC226" s="64">
        <v>3.71</v>
      </c>
      <c r="AD226" s="64"/>
      <c r="AE226" s="64"/>
      <c r="AF226" s="64"/>
      <c r="AG226" s="44">
        <v>113.1938931682125</v>
      </c>
      <c r="AH226" s="44">
        <v>51.335098942499997</v>
      </c>
    </row>
    <row r="227" spans="1:34" ht="22.5" customHeight="1">
      <c r="A227" s="89">
        <v>105</v>
      </c>
      <c r="B227" s="105" t="s">
        <v>76</v>
      </c>
      <c r="C227" s="33" t="s">
        <v>65</v>
      </c>
      <c r="D227" s="98">
        <v>44</v>
      </c>
      <c r="E227" s="98"/>
      <c r="F227" s="33" t="s">
        <v>54</v>
      </c>
      <c r="G227" s="33" t="s">
        <v>116</v>
      </c>
      <c r="H227" s="79" t="s">
        <v>45</v>
      </c>
      <c r="I227" s="79" t="s">
        <v>47</v>
      </c>
      <c r="J227" s="39" t="s">
        <v>46</v>
      </c>
      <c r="K227" s="34">
        <v>17.875</v>
      </c>
      <c r="L227" s="38" t="s">
        <v>84</v>
      </c>
      <c r="M227" s="35">
        <v>25.5</v>
      </c>
      <c r="N227" s="35" t="s">
        <v>84</v>
      </c>
      <c r="O227" s="36">
        <v>1.25</v>
      </c>
      <c r="P227" s="36"/>
      <c r="Q227" s="36"/>
      <c r="R227" s="36">
        <v>1</v>
      </c>
      <c r="S227" s="36"/>
      <c r="T227" s="36"/>
      <c r="U227" s="71">
        <v>1</v>
      </c>
      <c r="V227" s="204"/>
      <c r="W227" s="50">
        <v>3.1653645833333335</v>
      </c>
      <c r="X227" s="50">
        <v>3.1653645833333335</v>
      </c>
      <c r="Y227" s="81">
        <v>3.1653645833333335</v>
      </c>
      <c r="Z227" s="50">
        <v>3.1653645833333335</v>
      </c>
      <c r="AA227" s="50">
        <v>0.29407199250000005</v>
      </c>
      <c r="AB227" s="50">
        <v>0.29407199250000005</v>
      </c>
      <c r="AC227" s="64">
        <v>3.71</v>
      </c>
      <c r="AD227" s="64"/>
      <c r="AE227" s="64"/>
      <c r="AF227" s="64"/>
      <c r="AG227" s="44">
        <v>51.550085105268757</v>
      </c>
      <c r="AH227" s="44">
        <v>23.378723403750001</v>
      </c>
    </row>
    <row r="228" spans="1:34" ht="22.5" customHeight="1">
      <c r="A228" s="89"/>
      <c r="B228" s="105"/>
      <c r="C228" s="33"/>
      <c r="D228" s="98"/>
      <c r="E228" s="98"/>
      <c r="F228" s="33"/>
      <c r="G228" s="33"/>
      <c r="H228" s="79"/>
      <c r="I228" s="79"/>
      <c r="J228" s="39"/>
      <c r="K228" s="38"/>
      <c r="L228" s="121"/>
      <c r="M228" s="38"/>
      <c r="N228" s="35"/>
      <c r="O228" s="36"/>
      <c r="P228" s="36"/>
      <c r="Q228" s="36"/>
      <c r="R228" s="36"/>
      <c r="S228" s="36"/>
      <c r="T228" s="36"/>
      <c r="U228" s="120">
        <f>SUBTOTAL(9,U217:U227)</f>
        <v>24</v>
      </c>
      <c r="V228" s="139"/>
      <c r="W228" s="129"/>
      <c r="X228" s="129"/>
      <c r="Y228" s="132"/>
      <c r="Z228" s="129"/>
      <c r="AA228" s="129"/>
      <c r="AB228" s="129"/>
      <c r="AC228" s="77"/>
      <c r="AD228" s="64"/>
      <c r="AE228" s="64"/>
      <c r="AF228" s="64"/>
      <c r="AG228" s="131">
        <f>SUBTOTAL(9,AG217:AG227)</f>
        <v>2109.5880981540749</v>
      </c>
      <c r="AH228" s="131">
        <f>SUBTOTAL(9,AH217:AH227)</f>
        <v>956.72929621499998</v>
      </c>
    </row>
    <row r="229" spans="1:34" ht="22.5" customHeight="1">
      <c r="A229" s="89">
        <v>106</v>
      </c>
      <c r="B229" s="104" t="s">
        <v>72</v>
      </c>
      <c r="C229" s="33" t="s">
        <v>65</v>
      </c>
      <c r="D229" s="98">
        <v>10</v>
      </c>
      <c r="E229" s="98"/>
      <c r="F229" s="33" t="s">
        <v>54</v>
      </c>
      <c r="G229" s="33" t="s">
        <v>116</v>
      </c>
      <c r="H229" s="79" t="s">
        <v>58</v>
      </c>
      <c r="I229" s="79" t="s">
        <v>47</v>
      </c>
      <c r="J229" s="39" t="s">
        <v>46</v>
      </c>
      <c r="K229" s="38">
        <v>34.5</v>
      </c>
      <c r="L229" s="80" t="s">
        <v>84</v>
      </c>
      <c r="M229" s="38">
        <v>25.5</v>
      </c>
      <c r="N229" s="35" t="s">
        <v>84</v>
      </c>
      <c r="O229" s="36">
        <v>1.25</v>
      </c>
      <c r="P229" s="36"/>
      <c r="Q229" s="36"/>
      <c r="R229" s="36">
        <v>3</v>
      </c>
      <c r="S229" s="36"/>
      <c r="T229" s="36"/>
      <c r="U229" s="71">
        <v>3</v>
      </c>
      <c r="V229" s="202">
        <v>18</v>
      </c>
      <c r="W229" s="50">
        <v>6.109375</v>
      </c>
      <c r="X229" s="50">
        <v>18.328125</v>
      </c>
      <c r="Y229" s="81">
        <v>6.109375</v>
      </c>
      <c r="Z229" s="50">
        <v>18.328125</v>
      </c>
      <c r="AA229" s="50">
        <v>0.56757951000000006</v>
      </c>
      <c r="AB229" s="50">
        <v>1.7027385300000002</v>
      </c>
      <c r="AC229" s="64">
        <v>3.71</v>
      </c>
      <c r="AD229" s="64"/>
      <c r="AE229" s="64"/>
      <c r="AF229" s="64"/>
      <c r="AG229" s="44">
        <v>298.48580746267504</v>
      </c>
      <c r="AH229" s="44">
        <v>135.367713135</v>
      </c>
    </row>
    <row r="230" spans="1:34" ht="21.75" customHeight="1">
      <c r="A230" s="89">
        <v>107</v>
      </c>
      <c r="B230" s="105" t="s">
        <v>72</v>
      </c>
      <c r="C230" s="33" t="s">
        <v>65</v>
      </c>
      <c r="D230" s="98">
        <v>10</v>
      </c>
      <c r="E230" s="98"/>
      <c r="F230" s="33" t="s">
        <v>54</v>
      </c>
      <c r="G230" s="33" t="s">
        <v>116</v>
      </c>
      <c r="H230" s="79" t="s">
        <v>45</v>
      </c>
      <c r="I230" s="79" t="s">
        <v>47</v>
      </c>
      <c r="J230" s="39" t="s">
        <v>46</v>
      </c>
      <c r="K230" s="34">
        <v>39</v>
      </c>
      <c r="L230" s="35" t="s">
        <v>84</v>
      </c>
      <c r="M230" s="35">
        <v>25.5</v>
      </c>
      <c r="N230" s="35" t="s">
        <v>84</v>
      </c>
      <c r="O230" s="36">
        <v>1.25</v>
      </c>
      <c r="P230" s="36"/>
      <c r="Q230" s="36"/>
      <c r="R230" s="36">
        <v>3</v>
      </c>
      <c r="S230" s="36"/>
      <c r="T230" s="36"/>
      <c r="U230" s="71">
        <v>3</v>
      </c>
      <c r="V230" s="203"/>
      <c r="W230" s="50">
        <v>6.90625</v>
      </c>
      <c r="X230" s="50">
        <v>20.71875</v>
      </c>
      <c r="Y230" s="81">
        <v>6.90625</v>
      </c>
      <c r="Z230" s="50">
        <v>20.71875</v>
      </c>
      <c r="AA230" s="50">
        <v>0.64161162000000005</v>
      </c>
      <c r="AB230" s="50">
        <v>1.9248348600000003</v>
      </c>
      <c r="AC230" s="64">
        <v>3.71</v>
      </c>
      <c r="AD230" s="64"/>
      <c r="AE230" s="64"/>
      <c r="AF230" s="64"/>
      <c r="AG230" s="44">
        <v>337.41873887085006</v>
      </c>
      <c r="AH230" s="44">
        <v>153.02437137000001</v>
      </c>
    </row>
    <row r="231" spans="1:34" ht="21.75" customHeight="1">
      <c r="A231" s="89">
        <v>108</v>
      </c>
      <c r="B231" s="105" t="s">
        <v>73</v>
      </c>
      <c r="C231" s="33" t="s">
        <v>43</v>
      </c>
      <c r="D231" s="98">
        <v>13</v>
      </c>
      <c r="E231" s="98"/>
      <c r="F231" s="33" t="s">
        <v>54</v>
      </c>
      <c r="G231" s="33" t="s">
        <v>116</v>
      </c>
      <c r="H231" s="79" t="s">
        <v>45</v>
      </c>
      <c r="I231" s="79" t="s">
        <v>47</v>
      </c>
      <c r="J231" s="39" t="s">
        <v>46</v>
      </c>
      <c r="K231" s="34">
        <v>62.125</v>
      </c>
      <c r="L231" s="38" t="s">
        <v>84</v>
      </c>
      <c r="M231" s="35">
        <v>25.5</v>
      </c>
      <c r="N231" s="35" t="s">
        <v>84</v>
      </c>
      <c r="O231" s="36">
        <v>1.25</v>
      </c>
      <c r="P231" s="36"/>
      <c r="Q231" s="36"/>
      <c r="R231" s="36">
        <v>1</v>
      </c>
      <c r="S231" s="36"/>
      <c r="T231" s="36"/>
      <c r="U231" s="71">
        <v>1</v>
      </c>
      <c r="V231" s="203"/>
      <c r="W231" s="50">
        <v>11.001302083333334</v>
      </c>
      <c r="X231" s="50">
        <v>11.001302083333334</v>
      </c>
      <c r="Y231" s="81">
        <v>11.001302083333334</v>
      </c>
      <c r="Z231" s="50">
        <v>11.001302083333334</v>
      </c>
      <c r="AA231" s="50">
        <v>1.0220544075000002</v>
      </c>
      <c r="AB231" s="50">
        <v>1.0220544075000002</v>
      </c>
      <c r="AC231" s="64">
        <v>3.71</v>
      </c>
      <c r="AD231" s="64"/>
      <c r="AE231" s="64"/>
      <c r="AF231" s="64"/>
      <c r="AG231" s="44">
        <v>179.16358249873127</v>
      </c>
      <c r="AH231" s="44">
        <v>81.253325396250005</v>
      </c>
    </row>
    <row r="232" spans="1:34" ht="21.75" customHeight="1">
      <c r="A232" s="89">
        <v>109</v>
      </c>
      <c r="B232" s="105" t="s">
        <v>73</v>
      </c>
      <c r="C232" s="33" t="s">
        <v>43</v>
      </c>
      <c r="D232" s="98">
        <v>13</v>
      </c>
      <c r="E232" s="98"/>
      <c r="F232" s="33" t="s">
        <v>54</v>
      </c>
      <c r="G232" s="33" t="s">
        <v>116</v>
      </c>
      <c r="H232" s="79" t="s">
        <v>45</v>
      </c>
      <c r="I232" s="79" t="s">
        <v>47</v>
      </c>
      <c r="J232" s="39" t="s">
        <v>46</v>
      </c>
      <c r="K232" s="34">
        <v>24</v>
      </c>
      <c r="L232" s="38" t="s">
        <v>84</v>
      </c>
      <c r="M232" s="35">
        <v>25.5</v>
      </c>
      <c r="N232" s="35" t="s">
        <v>84</v>
      </c>
      <c r="O232" s="36">
        <v>1.25</v>
      </c>
      <c r="P232" s="36"/>
      <c r="Q232" s="36"/>
      <c r="R232" s="36">
        <v>1</v>
      </c>
      <c r="S232" s="36"/>
      <c r="T232" s="36"/>
      <c r="U232" s="71">
        <v>1</v>
      </c>
      <c r="V232" s="203"/>
      <c r="W232" s="50">
        <v>4.25</v>
      </c>
      <c r="X232" s="50">
        <v>4.25</v>
      </c>
      <c r="Y232" s="81">
        <v>4.25</v>
      </c>
      <c r="Z232" s="50">
        <v>4.25</v>
      </c>
      <c r="AA232" s="50">
        <v>0.39483792000000001</v>
      </c>
      <c r="AB232" s="50">
        <v>0.39483792000000001</v>
      </c>
      <c r="AC232" s="64">
        <v>3.71</v>
      </c>
      <c r="AD232" s="64"/>
      <c r="AE232" s="64"/>
      <c r="AF232" s="64"/>
      <c r="AG232" s="44">
        <v>69.21410028119999</v>
      </c>
      <c r="AH232" s="44">
        <v>31.389614639999994</v>
      </c>
    </row>
    <row r="233" spans="1:34" ht="21.75" customHeight="1">
      <c r="A233" s="89">
        <v>110</v>
      </c>
      <c r="B233" s="104" t="s">
        <v>73</v>
      </c>
      <c r="C233" s="33" t="s">
        <v>65</v>
      </c>
      <c r="D233" s="98">
        <v>16</v>
      </c>
      <c r="E233" s="98"/>
      <c r="F233" s="33" t="s">
        <v>54</v>
      </c>
      <c r="G233" s="33" t="s">
        <v>116</v>
      </c>
      <c r="H233" s="79" t="s">
        <v>45</v>
      </c>
      <c r="I233" s="79" t="s">
        <v>47</v>
      </c>
      <c r="J233" s="39" t="s">
        <v>46</v>
      </c>
      <c r="K233" s="38">
        <v>62.125</v>
      </c>
      <c r="L233" s="80" t="s">
        <v>84</v>
      </c>
      <c r="M233" s="38">
        <v>25.5</v>
      </c>
      <c r="N233" s="35" t="s">
        <v>84</v>
      </c>
      <c r="O233" s="36">
        <v>1.25</v>
      </c>
      <c r="P233" s="36"/>
      <c r="Q233" s="36"/>
      <c r="R233" s="36">
        <v>4</v>
      </c>
      <c r="S233" s="36"/>
      <c r="T233" s="36"/>
      <c r="U233" s="71">
        <v>4</v>
      </c>
      <c r="V233" s="203"/>
      <c r="W233" s="50">
        <v>11.001302083333334</v>
      </c>
      <c r="X233" s="50">
        <v>44.005208333333336</v>
      </c>
      <c r="Y233" s="81">
        <v>11.001302083333334</v>
      </c>
      <c r="Z233" s="50">
        <v>44.005208333333336</v>
      </c>
      <c r="AA233" s="50">
        <v>1.0220544075000002</v>
      </c>
      <c r="AB233" s="50">
        <v>4.0882176300000008</v>
      </c>
      <c r="AC233" s="64">
        <v>3.71</v>
      </c>
      <c r="AD233" s="64"/>
      <c r="AE233" s="64"/>
      <c r="AF233" s="64"/>
      <c r="AG233" s="44">
        <v>716.65432999492509</v>
      </c>
      <c r="AH233" s="44">
        <v>325.01330158500002</v>
      </c>
    </row>
    <row r="234" spans="1:34" ht="21.75" customHeight="1">
      <c r="A234" s="89">
        <v>111</v>
      </c>
      <c r="B234" s="105" t="s">
        <v>73</v>
      </c>
      <c r="C234" s="33" t="s">
        <v>65</v>
      </c>
      <c r="D234" s="98">
        <v>16</v>
      </c>
      <c r="E234" s="98"/>
      <c r="F234" s="33" t="s">
        <v>54</v>
      </c>
      <c r="G234" s="33" t="s">
        <v>116</v>
      </c>
      <c r="H234" s="79" t="s">
        <v>45</v>
      </c>
      <c r="I234" s="79" t="s">
        <v>47</v>
      </c>
      <c r="J234" s="39" t="s">
        <v>46</v>
      </c>
      <c r="K234" s="34">
        <v>24</v>
      </c>
      <c r="L234" s="35" t="s">
        <v>84</v>
      </c>
      <c r="M234" s="35">
        <v>25.5</v>
      </c>
      <c r="N234" s="35" t="s">
        <v>84</v>
      </c>
      <c r="O234" s="36">
        <v>1.25</v>
      </c>
      <c r="P234" s="36"/>
      <c r="Q234" s="36"/>
      <c r="R234" s="36">
        <v>4</v>
      </c>
      <c r="S234" s="36"/>
      <c r="T234" s="36"/>
      <c r="U234" s="71">
        <v>4</v>
      </c>
      <c r="V234" s="203"/>
      <c r="W234" s="50">
        <v>4.25</v>
      </c>
      <c r="X234" s="50">
        <v>17</v>
      </c>
      <c r="Y234" s="81">
        <v>4.25</v>
      </c>
      <c r="Z234" s="50">
        <v>17</v>
      </c>
      <c r="AA234" s="50">
        <v>0.39483792000000001</v>
      </c>
      <c r="AB234" s="50">
        <v>1.57935168</v>
      </c>
      <c r="AC234" s="64">
        <v>3.71</v>
      </c>
      <c r="AD234" s="64"/>
      <c r="AE234" s="64"/>
      <c r="AF234" s="64"/>
      <c r="AG234" s="44">
        <v>276.85640112479996</v>
      </c>
      <c r="AH234" s="44">
        <v>125.55845855999998</v>
      </c>
    </row>
    <row r="235" spans="1:34" ht="21.75" customHeight="1">
      <c r="A235" s="89">
        <v>112</v>
      </c>
      <c r="B235" s="105" t="s">
        <v>74</v>
      </c>
      <c r="C235" s="33" t="s">
        <v>65</v>
      </c>
      <c r="D235" s="98">
        <v>22</v>
      </c>
      <c r="E235" s="98"/>
      <c r="F235" s="33" t="s">
        <v>54</v>
      </c>
      <c r="G235" s="33" t="s">
        <v>116</v>
      </c>
      <c r="H235" s="79" t="s">
        <v>58</v>
      </c>
      <c r="I235" s="79" t="s">
        <v>47</v>
      </c>
      <c r="J235" s="39" t="s">
        <v>46</v>
      </c>
      <c r="K235" s="34">
        <v>92.25</v>
      </c>
      <c r="L235" s="38" t="s">
        <v>84</v>
      </c>
      <c r="M235" s="35">
        <v>25.5</v>
      </c>
      <c r="N235" s="35" t="s">
        <v>84</v>
      </c>
      <c r="O235" s="36">
        <v>1.25</v>
      </c>
      <c r="P235" s="36"/>
      <c r="Q235" s="36"/>
      <c r="R235" s="36">
        <v>1</v>
      </c>
      <c r="S235" s="36"/>
      <c r="T235" s="36"/>
      <c r="U235" s="71">
        <v>1</v>
      </c>
      <c r="V235" s="203"/>
      <c r="W235" s="50">
        <v>16.3359375</v>
      </c>
      <c r="X235" s="50">
        <v>16.3359375</v>
      </c>
      <c r="Y235" s="81">
        <v>16.3359375</v>
      </c>
      <c r="Z235" s="50">
        <v>16.3359375</v>
      </c>
      <c r="AA235" s="50">
        <v>1.5176582550000002</v>
      </c>
      <c r="AB235" s="50">
        <v>1.5176582550000002</v>
      </c>
      <c r="AC235" s="64">
        <v>3.71</v>
      </c>
      <c r="AD235" s="64"/>
      <c r="AE235" s="64"/>
      <c r="AF235" s="64"/>
      <c r="AG235" s="44">
        <v>266.04169795586256</v>
      </c>
      <c r="AH235" s="44">
        <v>120.65383127250001</v>
      </c>
    </row>
    <row r="236" spans="1:34" ht="21.75" customHeight="1">
      <c r="A236" s="89">
        <v>113</v>
      </c>
      <c r="B236" s="105" t="s">
        <v>74</v>
      </c>
      <c r="C236" s="33" t="s">
        <v>65</v>
      </c>
      <c r="D236" s="98">
        <v>22</v>
      </c>
      <c r="E236" s="98"/>
      <c r="F236" s="33" t="s">
        <v>54</v>
      </c>
      <c r="G236" s="33" t="s">
        <v>116</v>
      </c>
      <c r="H236" s="79" t="s">
        <v>58</v>
      </c>
      <c r="I236" s="79" t="s">
        <v>47</v>
      </c>
      <c r="J236" s="39" t="s">
        <v>46</v>
      </c>
      <c r="K236" s="34">
        <v>58.875</v>
      </c>
      <c r="L236" s="38" t="s">
        <v>84</v>
      </c>
      <c r="M236" s="35">
        <v>25.5</v>
      </c>
      <c r="N236" s="35" t="s">
        <v>84</v>
      </c>
      <c r="O236" s="36">
        <v>1.25</v>
      </c>
      <c r="P236" s="36"/>
      <c r="Q236" s="36"/>
      <c r="R236" s="36">
        <v>1</v>
      </c>
      <c r="S236" s="36"/>
      <c r="T236" s="36"/>
      <c r="U236" s="71">
        <v>1</v>
      </c>
      <c r="V236" s="203"/>
      <c r="W236" s="50">
        <v>10.42578125</v>
      </c>
      <c r="X236" s="50">
        <v>10.42578125</v>
      </c>
      <c r="Y236" s="81">
        <v>10.42578125</v>
      </c>
      <c r="Z236" s="50">
        <v>10.42578125</v>
      </c>
      <c r="AA236" s="50">
        <v>0.96858677250000003</v>
      </c>
      <c r="AB236" s="50">
        <v>0.96858677250000003</v>
      </c>
      <c r="AC236" s="64">
        <v>3.71</v>
      </c>
      <c r="AD236" s="64"/>
      <c r="AE236" s="64"/>
      <c r="AF236" s="64"/>
      <c r="AG236" s="44">
        <v>169.79083975231873</v>
      </c>
      <c r="AH236" s="44">
        <v>77.002648413749995</v>
      </c>
    </row>
    <row r="237" spans="1:34" ht="21.75" customHeight="1">
      <c r="A237" s="89">
        <v>114</v>
      </c>
      <c r="B237" s="104" t="s">
        <v>74</v>
      </c>
      <c r="C237" s="33" t="s">
        <v>65</v>
      </c>
      <c r="D237" s="98">
        <v>22</v>
      </c>
      <c r="E237" s="98"/>
      <c r="F237" s="33" t="s">
        <v>54</v>
      </c>
      <c r="G237" s="33" t="s">
        <v>116</v>
      </c>
      <c r="H237" s="79" t="s">
        <v>45</v>
      </c>
      <c r="I237" s="79" t="s">
        <v>47</v>
      </c>
      <c r="J237" s="39" t="s">
        <v>46</v>
      </c>
      <c r="K237" s="38">
        <v>30</v>
      </c>
      <c r="L237" s="80" t="s">
        <v>84</v>
      </c>
      <c r="M237" s="38">
        <v>25.5</v>
      </c>
      <c r="N237" s="35" t="s">
        <v>84</v>
      </c>
      <c r="O237" s="36">
        <v>1.25</v>
      </c>
      <c r="P237" s="36"/>
      <c r="Q237" s="36"/>
      <c r="R237" s="36">
        <v>1</v>
      </c>
      <c r="S237" s="36"/>
      <c r="T237" s="36"/>
      <c r="U237" s="71">
        <v>1</v>
      </c>
      <c r="V237" s="203"/>
      <c r="W237" s="50">
        <v>5.3125</v>
      </c>
      <c r="X237" s="50">
        <v>5.3125</v>
      </c>
      <c r="Y237" s="81">
        <v>5.3125</v>
      </c>
      <c r="Z237" s="50">
        <v>5.3125</v>
      </c>
      <c r="AA237" s="50">
        <v>0.49354740000000002</v>
      </c>
      <c r="AB237" s="50">
        <v>0.49354740000000002</v>
      </c>
      <c r="AC237" s="64">
        <v>3.71</v>
      </c>
      <c r="AD237" s="64"/>
      <c r="AE237" s="64"/>
      <c r="AF237" s="64"/>
      <c r="AG237" s="44">
        <v>86.517625351500016</v>
      </c>
      <c r="AH237" s="44">
        <v>39.237018300000003</v>
      </c>
    </row>
    <row r="238" spans="1:34" ht="21.75" customHeight="1">
      <c r="A238" s="89">
        <v>115</v>
      </c>
      <c r="B238" s="105" t="s">
        <v>74</v>
      </c>
      <c r="C238" s="33" t="s">
        <v>65</v>
      </c>
      <c r="D238" s="98">
        <v>22</v>
      </c>
      <c r="E238" s="98"/>
      <c r="F238" s="33" t="s">
        <v>54</v>
      </c>
      <c r="G238" s="33" t="s">
        <v>116</v>
      </c>
      <c r="H238" s="79" t="s">
        <v>58</v>
      </c>
      <c r="I238" s="79" t="s">
        <v>47</v>
      </c>
      <c r="J238" s="39" t="s">
        <v>46</v>
      </c>
      <c r="K238" s="34">
        <v>92.25</v>
      </c>
      <c r="L238" s="35" t="s">
        <v>84</v>
      </c>
      <c r="M238" s="35">
        <v>25.5</v>
      </c>
      <c r="N238" s="35" t="s">
        <v>84</v>
      </c>
      <c r="O238" s="36">
        <v>1.25</v>
      </c>
      <c r="P238" s="36"/>
      <c r="Q238" s="36"/>
      <c r="R238" s="36"/>
      <c r="S238" s="36">
        <v>1</v>
      </c>
      <c r="T238" s="36"/>
      <c r="U238" s="71">
        <v>1</v>
      </c>
      <c r="V238" s="203"/>
      <c r="W238" s="50">
        <v>16.3359375</v>
      </c>
      <c r="X238" s="50">
        <v>16.3359375</v>
      </c>
      <c r="Y238" s="81">
        <v>16.3359375</v>
      </c>
      <c r="Z238" s="50">
        <v>16.3359375</v>
      </c>
      <c r="AA238" s="50">
        <v>1.5176582550000002</v>
      </c>
      <c r="AB238" s="50">
        <v>1.5176582550000002</v>
      </c>
      <c r="AC238" s="64">
        <v>3.71</v>
      </c>
      <c r="AD238" s="64"/>
      <c r="AE238" s="64"/>
      <c r="AF238" s="64"/>
      <c r="AG238" s="44">
        <v>266.04169795586256</v>
      </c>
      <c r="AH238" s="44">
        <v>120.65383127250001</v>
      </c>
    </row>
    <row r="239" spans="1:34" ht="21.75" customHeight="1">
      <c r="A239" s="89">
        <v>116</v>
      </c>
      <c r="B239" s="105" t="s">
        <v>74</v>
      </c>
      <c r="C239" s="33" t="s">
        <v>65</v>
      </c>
      <c r="D239" s="98">
        <v>22</v>
      </c>
      <c r="E239" s="98"/>
      <c r="F239" s="33" t="s">
        <v>54</v>
      </c>
      <c r="G239" s="33" t="s">
        <v>116</v>
      </c>
      <c r="H239" s="79" t="s">
        <v>58</v>
      </c>
      <c r="I239" s="79" t="s">
        <v>47</v>
      </c>
      <c r="J239" s="39" t="s">
        <v>46</v>
      </c>
      <c r="K239" s="34">
        <v>58.875</v>
      </c>
      <c r="L239" s="38" t="s">
        <v>84</v>
      </c>
      <c r="M239" s="35">
        <v>25.5</v>
      </c>
      <c r="N239" s="35" t="s">
        <v>84</v>
      </c>
      <c r="O239" s="36">
        <v>1.25</v>
      </c>
      <c r="P239" s="36"/>
      <c r="Q239" s="36"/>
      <c r="R239" s="36"/>
      <c r="S239" s="36">
        <v>1</v>
      </c>
      <c r="T239" s="36"/>
      <c r="U239" s="71">
        <v>1</v>
      </c>
      <c r="V239" s="203"/>
      <c r="W239" s="50">
        <v>10.42578125</v>
      </c>
      <c r="X239" s="50">
        <v>10.42578125</v>
      </c>
      <c r="Y239" s="81">
        <v>10.42578125</v>
      </c>
      <c r="Z239" s="50">
        <v>10.42578125</v>
      </c>
      <c r="AA239" s="50">
        <v>0.96858677250000003</v>
      </c>
      <c r="AB239" s="50">
        <v>0.96858677250000003</v>
      </c>
      <c r="AC239" s="64">
        <v>3.71</v>
      </c>
      <c r="AD239" s="64"/>
      <c r="AE239" s="64"/>
      <c r="AF239" s="64"/>
      <c r="AG239" s="44">
        <v>169.79083975231873</v>
      </c>
      <c r="AH239" s="44">
        <v>77.002648413749995</v>
      </c>
    </row>
    <row r="240" spans="1:34" ht="21.75" customHeight="1">
      <c r="A240" s="89">
        <v>117</v>
      </c>
      <c r="B240" s="105" t="s">
        <v>74</v>
      </c>
      <c r="C240" s="33" t="s">
        <v>65</v>
      </c>
      <c r="D240" s="98">
        <v>22</v>
      </c>
      <c r="E240" s="98"/>
      <c r="F240" s="33" t="s">
        <v>54</v>
      </c>
      <c r="G240" s="33" t="s">
        <v>116</v>
      </c>
      <c r="H240" s="79" t="s">
        <v>45</v>
      </c>
      <c r="I240" s="79" t="s">
        <v>47</v>
      </c>
      <c r="J240" s="39" t="s">
        <v>46</v>
      </c>
      <c r="K240" s="34">
        <v>30</v>
      </c>
      <c r="L240" s="38" t="s">
        <v>84</v>
      </c>
      <c r="M240" s="35">
        <v>25.5</v>
      </c>
      <c r="N240" s="35" t="s">
        <v>84</v>
      </c>
      <c r="O240" s="36">
        <v>1.25</v>
      </c>
      <c r="P240" s="36"/>
      <c r="Q240" s="36"/>
      <c r="R240" s="36"/>
      <c r="S240" s="36">
        <v>1</v>
      </c>
      <c r="T240" s="36"/>
      <c r="U240" s="71">
        <v>1</v>
      </c>
      <c r="V240" s="203"/>
      <c r="W240" s="50">
        <v>5.3125</v>
      </c>
      <c r="X240" s="50">
        <v>5.3125</v>
      </c>
      <c r="Y240" s="81">
        <v>5.3125</v>
      </c>
      <c r="Z240" s="50">
        <v>5.3125</v>
      </c>
      <c r="AA240" s="50">
        <v>0.49354740000000002</v>
      </c>
      <c r="AB240" s="50">
        <v>0.49354740000000002</v>
      </c>
      <c r="AC240" s="64">
        <v>3.71</v>
      </c>
      <c r="AD240" s="64"/>
      <c r="AE240" s="64"/>
      <c r="AF240" s="64"/>
      <c r="AG240" s="44">
        <v>86.517625351500016</v>
      </c>
      <c r="AH240" s="44">
        <v>39.237018300000003</v>
      </c>
    </row>
    <row r="241" spans="1:34" ht="21.75" customHeight="1">
      <c r="A241" s="89">
        <v>118</v>
      </c>
      <c r="B241" s="104" t="s">
        <v>75</v>
      </c>
      <c r="C241" s="33" t="s">
        <v>65</v>
      </c>
      <c r="D241" s="98">
        <v>29</v>
      </c>
      <c r="E241" s="98"/>
      <c r="F241" s="33" t="s">
        <v>54</v>
      </c>
      <c r="G241" s="33" t="s">
        <v>116</v>
      </c>
      <c r="H241" s="79" t="s">
        <v>58</v>
      </c>
      <c r="I241" s="79" t="s">
        <v>47</v>
      </c>
      <c r="J241" s="39" t="s">
        <v>46</v>
      </c>
      <c r="K241" s="38">
        <v>53.25</v>
      </c>
      <c r="L241" s="80" t="s">
        <v>84</v>
      </c>
      <c r="M241" s="38">
        <v>25.5</v>
      </c>
      <c r="N241" s="35" t="s">
        <v>84</v>
      </c>
      <c r="O241" s="36">
        <v>1.25</v>
      </c>
      <c r="P241" s="36"/>
      <c r="Q241" s="36"/>
      <c r="R241" s="36">
        <v>2</v>
      </c>
      <c r="S241" s="36"/>
      <c r="T241" s="36"/>
      <c r="U241" s="71">
        <v>2</v>
      </c>
      <c r="V241" s="203"/>
      <c r="W241" s="50">
        <v>9.4296875</v>
      </c>
      <c r="X241" s="50">
        <v>18.859375</v>
      </c>
      <c r="Y241" s="81">
        <v>9.4296875</v>
      </c>
      <c r="Z241" s="50">
        <v>18.859375</v>
      </c>
      <c r="AA241" s="50">
        <v>0.87604663500000002</v>
      </c>
      <c r="AB241" s="50">
        <v>1.75209327</v>
      </c>
      <c r="AC241" s="64">
        <v>3.71</v>
      </c>
      <c r="AD241" s="64"/>
      <c r="AE241" s="64"/>
      <c r="AF241" s="64"/>
      <c r="AG241" s="44">
        <v>307.13756999782493</v>
      </c>
      <c r="AH241" s="44">
        <v>139.29141496499997</v>
      </c>
    </row>
    <row r="242" spans="1:34" ht="22.5" customHeight="1">
      <c r="A242" s="89">
        <v>119</v>
      </c>
      <c r="B242" s="105" t="s">
        <v>75</v>
      </c>
      <c r="C242" s="33" t="s">
        <v>65</v>
      </c>
      <c r="D242" s="98">
        <v>29</v>
      </c>
      <c r="E242" s="98"/>
      <c r="F242" s="33" t="s">
        <v>54</v>
      </c>
      <c r="G242" s="33" t="s">
        <v>116</v>
      </c>
      <c r="H242" s="79" t="s">
        <v>58</v>
      </c>
      <c r="I242" s="79" t="s">
        <v>47</v>
      </c>
      <c r="J242" s="39" t="s">
        <v>46</v>
      </c>
      <c r="K242" s="34">
        <v>25.125</v>
      </c>
      <c r="L242" s="35" t="s">
        <v>84</v>
      </c>
      <c r="M242" s="35">
        <v>25.5</v>
      </c>
      <c r="N242" s="35" t="s">
        <v>84</v>
      </c>
      <c r="O242" s="36">
        <v>1.25</v>
      </c>
      <c r="P242" s="36"/>
      <c r="Q242" s="36"/>
      <c r="R242" s="36">
        <v>2</v>
      </c>
      <c r="S242" s="36"/>
      <c r="T242" s="36"/>
      <c r="U242" s="71">
        <v>2</v>
      </c>
      <c r="V242" s="203"/>
      <c r="W242" s="50">
        <v>4.44921875</v>
      </c>
      <c r="X242" s="50">
        <v>8.8984375</v>
      </c>
      <c r="Y242" s="81">
        <v>4.44921875</v>
      </c>
      <c r="Z242" s="50">
        <v>8.8984375</v>
      </c>
      <c r="AA242" s="50">
        <v>0.41334594750000003</v>
      </c>
      <c r="AB242" s="50">
        <v>0.82669189500000007</v>
      </c>
      <c r="AC242" s="64">
        <v>3.71</v>
      </c>
      <c r="AD242" s="64"/>
      <c r="AE242" s="64"/>
      <c r="AF242" s="64"/>
      <c r="AG242" s="44">
        <v>144.91702246376252</v>
      </c>
      <c r="AH242" s="44">
        <v>65.722005652500002</v>
      </c>
    </row>
    <row r="243" spans="1:34" ht="22.5" customHeight="1">
      <c r="A243" s="89">
        <v>120</v>
      </c>
      <c r="B243" s="105" t="s">
        <v>75</v>
      </c>
      <c r="C243" s="33" t="s">
        <v>65</v>
      </c>
      <c r="D243" s="98">
        <v>29</v>
      </c>
      <c r="E243" s="98"/>
      <c r="F243" s="33" t="s">
        <v>54</v>
      </c>
      <c r="G243" s="33" t="s">
        <v>116</v>
      </c>
      <c r="H243" s="79" t="s">
        <v>45</v>
      </c>
      <c r="I243" s="79" t="s">
        <v>47</v>
      </c>
      <c r="J243" s="39" t="s">
        <v>46</v>
      </c>
      <c r="K243" s="34">
        <v>21</v>
      </c>
      <c r="L243" s="38" t="s">
        <v>84</v>
      </c>
      <c r="M243" s="35">
        <v>25.5</v>
      </c>
      <c r="N243" s="35" t="s">
        <v>84</v>
      </c>
      <c r="O243" s="36">
        <v>1.25</v>
      </c>
      <c r="P243" s="36"/>
      <c r="Q243" s="36"/>
      <c r="R243" s="36">
        <v>2</v>
      </c>
      <c r="S243" s="36"/>
      <c r="T243" s="36"/>
      <c r="U243" s="71">
        <v>2</v>
      </c>
      <c r="V243" s="204"/>
      <c r="W243" s="50">
        <v>3.71875</v>
      </c>
      <c r="X243" s="50">
        <v>7.4375</v>
      </c>
      <c r="Y243" s="81">
        <v>3.71875</v>
      </c>
      <c r="Z243" s="50">
        <v>7.4375</v>
      </c>
      <c r="AA243" s="50">
        <v>0.34548318</v>
      </c>
      <c r="AB243" s="50">
        <v>0.69096636</v>
      </c>
      <c r="AC243" s="64">
        <v>3.71</v>
      </c>
      <c r="AD243" s="64"/>
      <c r="AE243" s="64"/>
      <c r="AF243" s="64"/>
      <c r="AG243" s="44">
        <v>121.1246754921</v>
      </c>
      <c r="AH243" s="44">
        <v>54.931825619999998</v>
      </c>
    </row>
    <row r="244" spans="1:34" ht="22.5" customHeight="1">
      <c r="A244" s="89"/>
      <c r="B244" s="105"/>
      <c r="C244" s="33"/>
      <c r="D244" s="98"/>
      <c r="E244" s="98"/>
      <c r="F244" s="33"/>
      <c r="G244" s="33"/>
      <c r="H244" s="79"/>
      <c r="I244" s="79"/>
      <c r="J244" s="39"/>
      <c r="K244" s="34"/>
      <c r="L244" s="38"/>
      <c r="M244" s="35"/>
      <c r="N244" s="35"/>
      <c r="O244" s="36"/>
      <c r="P244" s="36"/>
      <c r="Q244" s="36"/>
      <c r="R244" s="36"/>
      <c r="S244" s="36"/>
      <c r="T244" s="36"/>
      <c r="U244" s="120">
        <f>SUBTOTAL(9,U229:U243)</f>
        <v>28</v>
      </c>
      <c r="V244" s="139"/>
      <c r="W244" s="129"/>
      <c r="X244" s="129"/>
      <c r="Y244" s="132"/>
      <c r="Z244" s="129"/>
      <c r="AA244" s="129"/>
      <c r="AB244" s="129"/>
      <c r="AC244" s="77"/>
      <c r="AD244" s="64"/>
      <c r="AE244" s="64"/>
      <c r="AF244" s="64"/>
      <c r="AG244" s="131">
        <f>SUBTOTAL(9,AG229:AG243)</f>
        <v>3495.6725543062316</v>
      </c>
      <c r="AH244" s="131">
        <f>SUBTOTAL(9,AH229:AH243)</f>
        <v>1585.3390268962501</v>
      </c>
    </row>
    <row r="245" spans="1:34" ht="22.5" customHeight="1">
      <c r="A245" s="89">
        <v>121</v>
      </c>
      <c r="B245" s="105" t="s">
        <v>70</v>
      </c>
      <c r="C245" s="33" t="s">
        <v>43</v>
      </c>
      <c r="D245" s="98">
        <v>1</v>
      </c>
      <c r="E245" s="98"/>
      <c r="F245" s="33" t="s">
        <v>54</v>
      </c>
      <c r="G245" s="33" t="s">
        <v>116</v>
      </c>
      <c r="H245" s="79" t="s">
        <v>58</v>
      </c>
      <c r="I245" s="79" t="s">
        <v>47</v>
      </c>
      <c r="J245" s="39" t="s">
        <v>46</v>
      </c>
      <c r="K245" s="34">
        <v>22.75</v>
      </c>
      <c r="L245" s="38" t="s">
        <v>84</v>
      </c>
      <c r="M245" s="35">
        <v>25.5</v>
      </c>
      <c r="N245" s="35" t="s">
        <v>84</v>
      </c>
      <c r="O245" s="36">
        <v>1.25</v>
      </c>
      <c r="P245" s="36"/>
      <c r="Q245" s="36"/>
      <c r="R245" s="36"/>
      <c r="S245" s="36">
        <v>2</v>
      </c>
      <c r="T245" s="36"/>
      <c r="U245" s="71">
        <v>2</v>
      </c>
      <c r="V245" s="202">
        <v>19</v>
      </c>
      <c r="W245" s="50">
        <v>4.028645833333333</v>
      </c>
      <c r="X245" s="50">
        <v>8.0572916666666661</v>
      </c>
      <c r="Y245" s="81">
        <v>4.028645833333333</v>
      </c>
      <c r="Z245" s="50">
        <v>8.0572916666666661</v>
      </c>
      <c r="AA245" s="50">
        <v>0.37427344499999998</v>
      </c>
      <c r="AB245" s="50">
        <v>0.74854688999999996</v>
      </c>
      <c r="AC245" s="64">
        <v>3.71</v>
      </c>
      <c r="AD245" s="64"/>
      <c r="AE245" s="64"/>
      <c r="AF245" s="64"/>
      <c r="AG245" s="44">
        <v>131.21839844977498</v>
      </c>
      <c r="AH245" s="44">
        <v>59.509477754999992</v>
      </c>
    </row>
    <row r="246" spans="1:34" ht="22.5" customHeight="1">
      <c r="A246" s="89">
        <v>122</v>
      </c>
      <c r="B246" s="105" t="s">
        <v>70</v>
      </c>
      <c r="C246" s="33" t="s">
        <v>43</v>
      </c>
      <c r="D246" s="98">
        <v>1</v>
      </c>
      <c r="E246" s="98"/>
      <c r="F246" s="33" t="s">
        <v>54</v>
      </c>
      <c r="G246" s="33" t="s">
        <v>116</v>
      </c>
      <c r="H246" s="79" t="s">
        <v>58</v>
      </c>
      <c r="I246" s="79" t="s">
        <v>47</v>
      </c>
      <c r="J246" s="39" t="s">
        <v>46</v>
      </c>
      <c r="K246" s="34">
        <v>45.75</v>
      </c>
      <c r="L246" s="38" t="s">
        <v>84</v>
      </c>
      <c r="M246" s="35">
        <v>25.5</v>
      </c>
      <c r="N246" s="35" t="s">
        <v>84</v>
      </c>
      <c r="O246" s="36">
        <v>1.25</v>
      </c>
      <c r="P246" s="36"/>
      <c r="Q246" s="36"/>
      <c r="R246" s="36"/>
      <c r="S246" s="36">
        <v>2</v>
      </c>
      <c r="T246" s="36"/>
      <c r="U246" s="71">
        <v>2</v>
      </c>
      <c r="V246" s="203"/>
      <c r="W246" s="50">
        <v>8.1015625</v>
      </c>
      <c r="X246" s="50">
        <v>16.203125</v>
      </c>
      <c r="Y246" s="81">
        <v>8.1015625</v>
      </c>
      <c r="Z246" s="50">
        <v>16.203125</v>
      </c>
      <c r="AA246" s="50">
        <v>0.75265978500000008</v>
      </c>
      <c r="AB246" s="50">
        <v>1.5053195700000002</v>
      </c>
      <c r="AC246" s="64">
        <v>3.71</v>
      </c>
      <c r="AD246" s="64"/>
      <c r="AE246" s="64"/>
      <c r="AF246" s="64"/>
      <c r="AG246" s="44">
        <v>263.87875732207499</v>
      </c>
      <c r="AH246" s="44">
        <v>119.67290581499999</v>
      </c>
    </row>
    <row r="247" spans="1:34" ht="21.75" customHeight="1">
      <c r="A247" s="89">
        <v>123</v>
      </c>
      <c r="B247" s="104" t="s">
        <v>70</v>
      </c>
      <c r="C247" s="33" t="s">
        <v>43</v>
      </c>
      <c r="D247" s="98">
        <v>1</v>
      </c>
      <c r="E247" s="98"/>
      <c r="F247" s="33" t="s">
        <v>54</v>
      </c>
      <c r="G247" s="33" t="s">
        <v>116</v>
      </c>
      <c r="H247" s="79" t="s">
        <v>58</v>
      </c>
      <c r="I247" s="79" t="s">
        <v>47</v>
      </c>
      <c r="J247" s="39" t="s">
        <v>46</v>
      </c>
      <c r="K247" s="38">
        <v>19.5</v>
      </c>
      <c r="L247" s="80" t="s">
        <v>84</v>
      </c>
      <c r="M247" s="38">
        <v>25.5</v>
      </c>
      <c r="N247" s="35" t="s">
        <v>84</v>
      </c>
      <c r="O247" s="36">
        <v>1.25</v>
      </c>
      <c r="P247" s="36"/>
      <c r="Q247" s="36"/>
      <c r="R247" s="36"/>
      <c r="S247" s="36">
        <v>2</v>
      </c>
      <c r="T247" s="36"/>
      <c r="U247" s="71">
        <v>2</v>
      </c>
      <c r="V247" s="203"/>
      <c r="W247" s="50">
        <v>3.453125</v>
      </c>
      <c r="X247" s="50">
        <v>6.90625</v>
      </c>
      <c r="Y247" s="81">
        <v>3.453125</v>
      </c>
      <c r="Z247" s="50">
        <v>6.90625</v>
      </c>
      <c r="AA247" s="50">
        <v>0.32080581000000002</v>
      </c>
      <c r="AB247" s="50">
        <v>0.64161162000000005</v>
      </c>
      <c r="AC247" s="64">
        <v>3.71</v>
      </c>
      <c r="AD247" s="64"/>
      <c r="AE247" s="64"/>
      <c r="AF247" s="64"/>
      <c r="AG247" s="44">
        <v>112.47291295695</v>
      </c>
      <c r="AH247" s="44">
        <v>51.008123789999999</v>
      </c>
    </row>
    <row r="248" spans="1:34" ht="22.5" customHeight="1">
      <c r="A248" s="89">
        <v>124</v>
      </c>
      <c r="B248" s="105" t="s">
        <v>70</v>
      </c>
      <c r="C248" s="33" t="s">
        <v>65</v>
      </c>
      <c r="D248" s="98">
        <v>3</v>
      </c>
      <c r="E248" s="98"/>
      <c r="F248" s="33" t="s">
        <v>54</v>
      </c>
      <c r="G248" s="33" t="s">
        <v>116</v>
      </c>
      <c r="H248" s="79" t="s">
        <v>58</v>
      </c>
      <c r="I248" s="79" t="s">
        <v>47</v>
      </c>
      <c r="J248" s="39" t="s">
        <v>46</v>
      </c>
      <c r="K248" s="34">
        <v>22.75</v>
      </c>
      <c r="L248" s="35" t="s">
        <v>84</v>
      </c>
      <c r="M248" s="35">
        <v>25.5</v>
      </c>
      <c r="N248" s="35" t="s">
        <v>84</v>
      </c>
      <c r="O248" s="36">
        <v>1.25</v>
      </c>
      <c r="P248" s="36"/>
      <c r="Q248" s="36"/>
      <c r="R248" s="36"/>
      <c r="S248" s="36">
        <v>2</v>
      </c>
      <c r="T248" s="36"/>
      <c r="U248" s="71">
        <v>2</v>
      </c>
      <c r="V248" s="203"/>
      <c r="W248" s="50">
        <v>4.028645833333333</v>
      </c>
      <c r="X248" s="50">
        <v>8.0572916666666661</v>
      </c>
      <c r="Y248" s="81">
        <v>4.028645833333333</v>
      </c>
      <c r="Z248" s="50">
        <v>8.0572916666666661</v>
      </c>
      <c r="AA248" s="50">
        <v>0.37427344499999998</v>
      </c>
      <c r="AB248" s="50">
        <v>0.74854688999999996</v>
      </c>
      <c r="AC248" s="64">
        <v>3.71</v>
      </c>
      <c r="AD248" s="64"/>
      <c r="AE248" s="64"/>
      <c r="AF248" s="64"/>
      <c r="AG248" s="44">
        <v>131.21839844977498</v>
      </c>
      <c r="AH248" s="44">
        <v>59.509477754999992</v>
      </c>
    </row>
    <row r="249" spans="1:34" ht="22.5" customHeight="1">
      <c r="A249" s="89">
        <v>125</v>
      </c>
      <c r="B249" s="105" t="s">
        <v>70</v>
      </c>
      <c r="C249" s="33" t="s">
        <v>65</v>
      </c>
      <c r="D249" s="98">
        <v>3</v>
      </c>
      <c r="E249" s="98"/>
      <c r="F249" s="33" t="s">
        <v>54</v>
      </c>
      <c r="G249" s="33" t="s">
        <v>116</v>
      </c>
      <c r="H249" s="79" t="s">
        <v>58</v>
      </c>
      <c r="I249" s="79" t="s">
        <v>47</v>
      </c>
      <c r="J249" s="39" t="s">
        <v>46</v>
      </c>
      <c r="K249" s="34">
        <v>45.75</v>
      </c>
      <c r="L249" s="38" t="s">
        <v>84</v>
      </c>
      <c r="M249" s="35">
        <v>25.5</v>
      </c>
      <c r="N249" s="35" t="s">
        <v>84</v>
      </c>
      <c r="O249" s="36">
        <v>1.25</v>
      </c>
      <c r="P249" s="36"/>
      <c r="Q249" s="36"/>
      <c r="R249" s="36"/>
      <c r="S249" s="36">
        <v>2</v>
      </c>
      <c r="T249" s="36"/>
      <c r="U249" s="71">
        <v>2</v>
      </c>
      <c r="V249" s="203"/>
      <c r="W249" s="50">
        <v>8.1015625</v>
      </c>
      <c r="X249" s="50">
        <v>16.203125</v>
      </c>
      <c r="Y249" s="81">
        <v>8.1015625</v>
      </c>
      <c r="Z249" s="50">
        <v>16.203125</v>
      </c>
      <c r="AA249" s="50">
        <v>0.75265978500000008</v>
      </c>
      <c r="AB249" s="50">
        <v>1.5053195700000002</v>
      </c>
      <c r="AC249" s="64">
        <v>3.71</v>
      </c>
      <c r="AD249" s="64"/>
      <c r="AE249" s="64"/>
      <c r="AF249" s="64"/>
      <c r="AG249" s="44">
        <v>263.87875732207499</v>
      </c>
      <c r="AH249" s="44">
        <v>119.67290581499999</v>
      </c>
    </row>
    <row r="250" spans="1:34" ht="22.5" customHeight="1">
      <c r="A250" s="89">
        <v>126</v>
      </c>
      <c r="B250" s="105" t="s">
        <v>70</v>
      </c>
      <c r="C250" s="33" t="s">
        <v>65</v>
      </c>
      <c r="D250" s="98">
        <v>3</v>
      </c>
      <c r="E250" s="98"/>
      <c r="F250" s="33" t="s">
        <v>54</v>
      </c>
      <c r="G250" s="33" t="s">
        <v>116</v>
      </c>
      <c r="H250" s="79" t="s">
        <v>58</v>
      </c>
      <c r="I250" s="79" t="s">
        <v>47</v>
      </c>
      <c r="J250" s="39" t="s">
        <v>46</v>
      </c>
      <c r="K250" s="34">
        <v>19.5</v>
      </c>
      <c r="L250" s="38" t="s">
        <v>84</v>
      </c>
      <c r="M250" s="35">
        <v>25.5</v>
      </c>
      <c r="N250" s="35" t="s">
        <v>84</v>
      </c>
      <c r="O250" s="36">
        <v>1.25</v>
      </c>
      <c r="P250" s="36"/>
      <c r="Q250" s="36"/>
      <c r="R250" s="36"/>
      <c r="S250" s="36">
        <v>2</v>
      </c>
      <c r="T250" s="36"/>
      <c r="U250" s="71">
        <v>2</v>
      </c>
      <c r="V250" s="203"/>
      <c r="W250" s="50">
        <v>3.453125</v>
      </c>
      <c r="X250" s="50">
        <v>6.90625</v>
      </c>
      <c r="Y250" s="81">
        <v>3.453125</v>
      </c>
      <c r="Z250" s="50">
        <v>6.90625</v>
      </c>
      <c r="AA250" s="50">
        <v>0.32080581000000002</v>
      </c>
      <c r="AB250" s="50">
        <v>0.64161162000000005</v>
      </c>
      <c r="AC250" s="64">
        <v>3.71</v>
      </c>
      <c r="AD250" s="64"/>
      <c r="AE250" s="64"/>
      <c r="AF250" s="64"/>
      <c r="AG250" s="44">
        <v>112.47291295695</v>
      </c>
      <c r="AH250" s="44">
        <v>51.008123789999999</v>
      </c>
    </row>
    <row r="251" spans="1:34" ht="22.5" customHeight="1">
      <c r="A251" s="89">
        <v>127</v>
      </c>
      <c r="B251" s="105" t="s">
        <v>72</v>
      </c>
      <c r="C251" s="33" t="s">
        <v>43</v>
      </c>
      <c r="D251" s="98">
        <v>7</v>
      </c>
      <c r="E251" s="98"/>
      <c r="F251" s="33" t="s">
        <v>54</v>
      </c>
      <c r="G251" s="33" t="s">
        <v>116</v>
      </c>
      <c r="H251" s="79" t="s">
        <v>58</v>
      </c>
      <c r="I251" s="79" t="s">
        <v>47</v>
      </c>
      <c r="J251" s="39" t="s">
        <v>46</v>
      </c>
      <c r="K251" s="34">
        <v>34.5</v>
      </c>
      <c r="L251" s="38" t="s">
        <v>84</v>
      </c>
      <c r="M251" s="35">
        <v>25.5</v>
      </c>
      <c r="N251" s="35" t="s">
        <v>84</v>
      </c>
      <c r="O251" s="36">
        <v>1.25</v>
      </c>
      <c r="P251" s="36"/>
      <c r="Q251" s="36"/>
      <c r="R251" s="36"/>
      <c r="S251" s="36">
        <v>3</v>
      </c>
      <c r="T251" s="36"/>
      <c r="U251" s="71">
        <v>3</v>
      </c>
      <c r="V251" s="203"/>
      <c r="W251" s="50">
        <v>6.109375</v>
      </c>
      <c r="X251" s="50">
        <v>18.328125</v>
      </c>
      <c r="Y251" s="81">
        <v>6.109375</v>
      </c>
      <c r="Z251" s="50">
        <v>18.328125</v>
      </c>
      <c r="AA251" s="50">
        <v>0.56757951000000006</v>
      </c>
      <c r="AB251" s="50">
        <v>1.7027385300000002</v>
      </c>
      <c r="AC251" s="64">
        <v>3.71</v>
      </c>
      <c r="AD251" s="64"/>
      <c r="AE251" s="64"/>
      <c r="AF251" s="64"/>
      <c r="AG251" s="44">
        <v>298.48580746267504</v>
      </c>
      <c r="AH251" s="44">
        <v>135.367713135</v>
      </c>
    </row>
    <row r="252" spans="1:34" ht="21.75" customHeight="1">
      <c r="A252" s="89">
        <v>128</v>
      </c>
      <c r="B252" s="104" t="s">
        <v>72</v>
      </c>
      <c r="C252" s="33" t="s">
        <v>43</v>
      </c>
      <c r="D252" s="98">
        <v>7</v>
      </c>
      <c r="E252" s="98"/>
      <c r="F252" s="33" t="s">
        <v>54</v>
      </c>
      <c r="G252" s="33" t="s">
        <v>116</v>
      </c>
      <c r="H252" s="79" t="s">
        <v>45</v>
      </c>
      <c r="I252" s="79" t="s">
        <v>47</v>
      </c>
      <c r="J252" s="39" t="s">
        <v>46</v>
      </c>
      <c r="K252" s="38">
        <v>39</v>
      </c>
      <c r="L252" s="80" t="s">
        <v>84</v>
      </c>
      <c r="M252" s="38">
        <v>25.5</v>
      </c>
      <c r="N252" s="35" t="s">
        <v>84</v>
      </c>
      <c r="O252" s="36">
        <v>1.25</v>
      </c>
      <c r="P252" s="36"/>
      <c r="Q252" s="36"/>
      <c r="R252" s="36"/>
      <c r="S252" s="36">
        <v>3</v>
      </c>
      <c r="T252" s="36"/>
      <c r="U252" s="71">
        <v>3</v>
      </c>
      <c r="V252" s="203"/>
      <c r="W252" s="50">
        <v>6.90625</v>
      </c>
      <c r="X252" s="50">
        <v>20.71875</v>
      </c>
      <c r="Y252" s="81">
        <v>6.90625</v>
      </c>
      <c r="Z252" s="50">
        <v>20.71875</v>
      </c>
      <c r="AA252" s="50">
        <v>0.64161162000000005</v>
      </c>
      <c r="AB252" s="50">
        <v>1.9248348600000003</v>
      </c>
      <c r="AC252" s="64">
        <v>3.71</v>
      </c>
      <c r="AD252" s="64"/>
      <c r="AE252" s="64"/>
      <c r="AF252" s="64"/>
      <c r="AG252" s="44">
        <v>337.41873887085006</v>
      </c>
      <c r="AH252" s="44">
        <v>153.02437137000001</v>
      </c>
    </row>
    <row r="253" spans="1:34" ht="22.5" customHeight="1">
      <c r="A253" s="89">
        <v>129</v>
      </c>
      <c r="B253" s="105" t="s">
        <v>72</v>
      </c>
      <c r="C253" s="33" t="s">
        <v>65</v>
      </c>
      <c r="D253" s="98">
        <v>10</v>
      </c>
      <c r="E253" s="98"/>
      <c r="F253" s="33" t="s">
        <v>54</v>
      </c>
      <c r="G253" s="33" t="s">
        <v>116</v>
      </c>
      <c r="H253" s="79" t="s">
        <v>58</v>
      </c>
      <c r="I253" s="79" t="s">
        <v>47</v>
      </c>
      <c r="J253" s="39" t="s">
        <v>46</v>
      </c>
      <c r="K253" s="34">
        <v>34.5</v>
      </c>
      <c r="L253" s="35" t="s">
        <v>84</v>
      </c>
      <c r="M253" s="35">
        <v>25.5</v>
      </c>
      <c r="N253" s="35" t="s">
        <v>84</v>
      </c>
      <c r="O253" s="36">
        <v>1.25</v>
      </c>
      <c r="P253" s="36"/>
      <c r="Q253" s="36"/>
      <c r="R253" s="36"/>
      <c r="S253" s="36">
        <v>3</v>
      </c>
      <c r="T253" s="36"/>
      <c r="U253" s="71">
        <v>3</v>
      </c>
      <c r="V253" s="203"/>
      <c r="W253" s="50">
        <v>6.109375</v>
      </c>
      <c r="X253" s="50">
        <v>18.328125</v>
      </c>
      <c r="Y253" s="81">
        <v>6.109375</v>
      </c>
      <c r="Z253" s="50">
        <v>18.328125</v>
      </c>
      <c r="AA253" s="50">
        <v>0.56757951000000006</v>
      </c>
      <c r="AB253" s="50">
        <v>1.7027385300000002</v>
      </c>
      <c r="AC253" s="64">
        <v>3.71</v>
      </c>
      <c r="AD253" s="64"/>
      <c r="AE253" s="64"/>
      <c r="AF253" s="64"/>
      <c r="AG253" s="44">
        <v>298.48580746267504</v>
      </c>
      <c r="AH253" s="44">
        <v>135.367713135</v>
      </c>
    </row>
    <row r="254" spans="1:34" ht="22.5" customHeight="1">
      <c r="A254" s="89">
        <v>130</v>
      </c>
      <c r="B254" s="105" t="s">
        <v>72</v>
      </c>
      <c r="C254" s="33" t="s">
        <v>65</v>
      </c>
      <c r="D254" s="98">
        <v>10</v>
      </c>
      <c r="E254" s="98"/>
      <c r="F254" s="33" t="s">
        <v>54</v>
      </c>
      <c r="G254" s="33" t="s">
        <v>116</v>
      </c>
      <c r="H254" s="79" t="s">
        <v>45</v>
      </c>
      <c r="I254" s="79" t="s">
        <v>47</v>
      </c>
      <c r="J254" s="39" t="s">
        <v>46</v>
      </c>
      <c r="K254" s="34">
        <v>39</v>
      </c>
      <c r="L254" s="38" t="s">
        <v>84</v>
      </c>
      <c r="M254" s="35">
        <v>25.5</v>
      </c>
      <c r="N254" s="35" t="s">
        <v>84</v>
      </c>
      <c r="O254" s="36">
        <v>1.25</v>
      </c>
      <c r="P254" s="36"/>
      <c r="Q254" s="36"/>
      <c r="R254" s="36"/>
      <c r="S254" s="36">
        <v>3</v>
      </c>
      <c r="T254" s="36"/>
      <c r="U254" s="71">
        <v>3</v>
      </c>
      <c r="V254" s="204"/>
      <c r="W254" s="50">
        <v>6.90625</v>
      </c>
      <c r="X254" s="50">
        <v>20.71875</v>
      </c>
      <c r="Y254" s="81">
        <v>6.90625</v>
      </c>
      <c r="Z254" s="50">
        <v>20.71875</v>
      </c>
      <c r="AA254" s="50">
        <v>0.64161162000000005</v>
      </c>
      <c r="AB254" s="50">
        <v>1.9248348600000003</v>
      </c>
      <c r="AC254" s="64">
        <v>3.71</v>
      </c>
      <c r="AD254" s="64"/>
      <c r="AE254" s="64"/>
      <c r="AF254" s="64"/>
      <c r="AG254" s="44">
        <v>337.41873887085006</v>
      </c>
      <c r="AH254" s="44">
        <v>153.02437137000001</v>
      </c>
    </row>
    <row r="255" spans="1:34" ht="22.5" customHeight="1">
      <c r="A255" s="89"/>
      <c r="B255" s="105"/>
      <c r="C255" s="33"/>
      <c r="D255" s="98"/>
      <c r="E255" s="98"/>
      <c r="F255" s="33"/>
      <c r="G255" s="33"/>
      <c r="H255" s="79"/>
      <c r="I255" s="79"/>
      <c r="J255" s="39"/>
      <c r="K255" s="34"/>
      <c r="L255" s="38"/>
      <c r="M255" s="35"/>
      <c r="N255" s="35"/>
      <c r="O255" s="36"/>
      <c r="P255" s="36"/>
      <c r="Q255" s="36"/>
      <c r="R255" s="36"/>
      <c r="S255" s="36"/>
      <c r="T255" s="36"/>
      <c r="U255" s="120">
        <f>SUBTOTAL(9,U245:U254)</f>
        <v>24</v>
      </c>
      <c r="V255" s="139"/>
      <c r="W255" s="129"/>
      <c r="X255" s="129"/>
      <c r="Y255" s="132"/>
      <c r="Z255" s="129"/>
      <c r="AA255" s="129"/>
      <c r="AB255" s="129"/>
      <c r="AC255" s="77"/>
      <c r="AD255" s="64"/>
      <c r="AE255" s="64"/>
      <c r="AF255" s="64"/>
      <c r="AG255" s="131">
        <f>SUBTOTAL(9,AG245:AG254)</f>
        <v>2286.9492301246501</v>
      </c>
      <c r="AH255" s="131">
        <f>SUBTOTAL(9,AH245:AH254)</f>
        <v>1037.1651837300001</v>
      </c>
    </row>
    <row r="256" spans="1:34" ht="22.5" customHeight="1">
      <c r="A256" s="89">
        <v>131</v>
      </c>
      <c r="B256" s="105" t="s">
        <v>71</v>
      </c>
      <c r="C256" s="33" t="s">
        <v>65</v>
      </c>
      <c r="D256" s="98">
        <v>5</v>
      </c>
      <c r="E256" s="98"/>
      <c r="F256" s="33" t="s">
        <v>54</v>
      </c>
      <c r="G256" s="33" t="s">
        <v>116</v>
      </c>
      <c r="H256" s="79" t="s">
        <v>58</v>
      </c>
      <c r="I256" s="79" t="s">
        <v>47</v>
      </c>
      <c r="J256" s="39" t="s">
        <v>46</v>
      </c>
      <c r="K256" s="34">
        <v>36.125</v>
      </c>
      <c r="L256" s="38" t="s">
        <v>84</v>
      </c>
      <c r="M256" s="35">
        <v>25.5</v>
      </c>
      <c r="N256" s="35" t="s">
        <v>84</v>
      </c>
      <c r="O256" s="36">
        <v>1.25</v>
      </c>
      <c r="P256" s="36"/>
      <c r="Q256" s="36"/>
      <c r="R256" s="36"/>
      <c r="S256" s="36"/>
      <c r="T256" s="36">
        <v>1</v>
      </c>
      <c r="U256" s="71">
        <v>1</v>
      </c>
      <c r="V256" s="202">
        <v>20</v>
      </c>
      <c r="W256" s="50">
        <v>6.397135416666667</v>
      </c>
      <c r="X256" s="50">
        <v>6.397135416666667</v>
      </c>
      <c r="Y256" s="81">
        <v>6.397135416666667</v>
      </c>
      <c r="Z256" s="50">
        <v>6.397135416666667</v>
      </c>
      <c r="AA256" s="50">
        <v>0.5943133275000001</v>
      </c>
      <c r="AB256" s="50">
        <v>0.5943133275000001</v>
      </c>
      <c r="AC256" s="64">
        <v>3.71</v>
      </c>
      <c r="AD256" s="64"/>
      <c r="AE256" s="64"/>
      <c r="AF256" s="64"/>
      <c r="AG256" s="44">
        <v>104.18164052743127</v>
      </c>
      <c r="AH256" s="44">
        <v>47.247909536250006</v>
      </c>
    </row>
    <row r="257" spans="1:34" ht="22.5" customHeight="1">
      <c r="A257" s="89">
        <v>132</v>
      </c>
      <c r="B257" s="105" t="s">
        <v>71</v>
      </c>
      <c r="C257" s="33" t="s">
        <v>65</v>
      </c>
      <c r="D257" s="98">
        <v>5</v>
      </c>
      <c r="E257" s="98"/>
      <c r="F257" s="33" t="s">
        <v>54</v>
      </c>
      <c r="G257" s="33" t="s">
        <v>116</v>
      </c>
      <c r="H257" s="79" t="s">
        <v>45</v>
      </c>
      <c r="I257" s="79" t="s">
        <v>47</v>
      </c>
      <c r="J257" s="39" t="s">
        <v>46</v>
      </c>
      <c r="K257" s="34">
        <v>21</v>
      </c>
      <c r="L257" s="38" t="s">
        <v>84</v>
      </c>
      <c r="M257" s="35">
        <v>25.5</v>
      </c>
      <c r="N257" s="35" t="s">
        <v>84</v>
      </c>
      <c r="O257" s="36">
        <v>1.25</v>
      </c>
      <c r="P257" s="36"/>
      <c r="Q257" s="36"/>
      <c r="R257" s="36"/>
      <c r="S257" s="36"/>
      <c r="T257" s="36">
        <v>1</v>
      </c>
      <c r="U257" s="71">
        <v>1</v>
      </c>
      <c r="V257" s="203"/>
      <c r="W257" s="50">
        <v>3.71875</v>
      </c>
      <c r="X257" s="50">
        <v>3.71875</v>
      </c>
      <c r="Y257" s="81">
        <v>3.71875</v>
      </c>
      <c r="Z257" s="50">
        <v>3.71875</v>
      </c>
      <c r="AA257" s="50">
        <v>0.34548318</v>
      </c>
      <c r="AB257" s="50">
        <v>0.34548318</v>
      </c>
      <c r="AC257" s="64">
        <v>3.71</v>
      </c>
      <c r="AD257" s="64"/>
      <c r="AE257" s="64"/>
      <c r="AF257" s="64"/>
      <c r="AG257" s="44">
        <v>60.562337746049998</v>
      </c>
      <c r="AH257" s="44">
        <v>27.465912809999999</v>
      </c>
    </row>
    <row r="258" spans="1:34" ht="21.75" customHeight="1">
      <c r="A258" s="89">
        <v>133</v>
      </c>
      <c r="B258" s="104" t="s">
        <v>73</v>
      </c>
      <c r="C258" s="33" t="s">
        <v>43</v>
      </c>
      <c r="D258" s="98">
        <v>13</v>
      </c>
      <c r="E258" s="98"/>
      <c r="F258" s="33" t="s">
        <v>54</v>
      </c>
      <c r="G258" s="33" t="s">
        <v>116</v>
      </c>
      <c r="H258" s="79" t="s">
        <v>45</v>
      </c>
      <c r="I258" s="79" t="s">
        <v>47</v>
      </c>
      <c r="J258" s="39" t="s">
        <v>46</v>
      </c>
      <c r="K258" s="38">
        <v>62.125</v>
      </c>
      <c r="L258" s="80" t="s">
        <v>84</v>
      </c>
      <c r="M258" s="38">
        <v>25.5</v>
      </c>
      <c r="N258" s="35" t="s">
        <v>84</v>
      </c>
      <c r="O258" s="36">
        <v>1.25</v>
      </c>
      <c r="P258" s="36"/>
      <c r="Q258" s="36"/>
      <c r="R258" s="36"/>
      <c r="S258" s="36">
        <v>1</v>
      </c>
      <c r="T258" s="36"/>
      <c r="U258" s="71">
        <v>1</v>
      </c>
      <c r="V258" s="203"/>
      <c r="W258" s="50">
        <v>11.001302083333334</v>
      </c>
      <c r="X258" s="50">
        <v>11.001302083333334</v>
      </c>
      <c r="Y258" s="81">
        <v>11.001302083333334</v>
      </c>
      <c r="Z258" s="50">
        <v>11.001302083333334</v>
      </c>
      <c r="AA258" s="50">
        <v>1.0220544075000002</v>
      </c>
      <c r="AB258" s="50">
        <v>1.0220544075000002</v>
      </c>
      <c r="AC258" s="64">
        <v>3.71</v>
      </c>
      <c r="AD258" s="64"/>
      <c r="AE258" s="64"/>
      <c r="AF258" s="64"/>
      <c r="AG258" s="44">
        <v>179.16358249873127</v>
      </c>
      <c r="AH258" s="44">
        <v>81.253325396250005</v>
      </c>
    </row>
    <row r="259" spans="1:34" ht="22.5" customHeight="1">
      <c r="A259" s="89">
        <v>134</v>
      </c>
      <c r="B259" s="105" t="s">
        <v>73</v>
      </c>
      <c r="C259" s="33" t="s">
        <v>43</v>
      </c>
      <c r="D259" s="98">
        <v>13</v>
      </c>
      <c r="E259" s="98"/>
      <c r="F259" s="33" t="s">
        <v>54</v>
      </c>
      <c r="G259" s="33" t="s">
        <v>116</v>
      </c>
      <c r="H259" s="79" t="s">
        <v>45</v>
      </c>
      <c r="I259" s="79" t="s">
        <v>47</v>
      </c>
      <c r="J259" s="39" t="s">
        <v>46</v>
      </c>
      <c r="K259" s="34">
        <v>24</v>
      </c>
      <c r="L259" s="35" t="s">
        <v>84</v>
      </c>
      <c r="M259" s="35">
        <v>25.5</v>
      </c>
      <c r="N259" s="35" t="s">
        <v>84</v>
      </c>
      <c r="O259" s="36">
        <v>1.25</v>
      </c>
      <c r="P259" s="36"/>
      <c r="Q259" s="36"/>
      <c r="R259" s="36"/>
      <c r="S259" s="36">
        <v>1</v>
      </c>
      <c r="T259" s="36"/>
      <c r="U259" s="71">
        <v>1</v>
      </c>
      <c r="V259" s="203"/>
      <c r="W259" s="50">
        <v>4.25</v>
      </c>
      <c r="X259" s="50">
        <v>4.25</v>
      </c>
      <c r="Y259" s="81">
        <v>4.25</v>
      </c>
      <c r="Z259" s="50">
        <v>4.25</v>
      </c>
      <c r="AA259" s="50">
        <v>0.39483792000000001</v>
      </c>
      <c r="AB259" s="50">
        <v>0.39483792000000001</v>
      </c>
      <c r="AC259" s="64">
        <v>3.71</v>
      </c>
      <c r="AD259" s="64"/>
      <c r="AE259" s="64"/>
      <c r="AF259" s="64"/>
      <c r="AG259" s="44">
        <v>69.21410028119999</v>
      </c>
      <c r="AH259" s="44">
        <v>31.389614639999994</v>
      </c>
    </row>
    <row r="260" spans="1:34" ht="22.5" customHeight="1">
      <c r="A260" s="89">
        <v>135</v>
      </c>
      <c r="B260" s="105" t="s">
        <v>73</v>
      </c>
      <c r="C260" s="33" t="s">
        <v>65</v>
      </c>
      <c r="D260" s="98">
        <v>16</v>
      </c>
      <c r="E260" s="98"/>
      <c r="F260" s="33" t="s">
        <v>54</v>
      </c>
      <c r="G260" s="33" t="s">
        <v>116</v>
      </c>
      <c r="H260" s="79" t="s">
        <v>45</v>
      </c>
      <c r="I260" s="79" t="s">
        <v>47</v>
      </c>
      <c r="J260" s="39" t="s">
        <v>46</v>
      </c>
      <c r="K260" s="34">
        <v>62.125</v>
      </c>
      <c r="L260" s="38" t="s">
        <v>84</v>
      </c>
      <c r="M260" s="35">
        <v>25.5</v>
      </c>
      <c r="N260" s="35" t="s">
        <v>84</v>
      </c>
      <c r="O260" s="36">
        <v>1.25</v>
      </c>
      <c r="P260" s="36"/>
      <c r="Q260" s="36"/>
      <c r="R260" s="36"/>
      <c r="S260" s="36">
        <v>3</v>
      </c>
      <c r="T260" s="36"/>
      <c r="U260" s="71">
        <v>3</v>
      </c>
      <c r="V260" s="203"/>
      <c r="W260" s="50">
        <v>11.001302083333334</v>
      </c>
      <c r="X260" s="50">
        <v>33.00390625</v>
      </c>
      <c r="Y260" s="81">
        <v>11.001302083333334</v>
      </c>
      <c r="Z260" s="50">
        <v>33.00390625</v>
      </c>
      <c r="AA260" s="50">
        <v>1.0220544075000002</v>
      </c>
      <c r="AB260" s="50">
        <v>3.0661632225000006</v>
      </c>
      <c r="AC260" s="64">
        <v>3.71</v>
      </c>
      <c r="AD260" s="64"/>
      <c r="AE260" s="64"/>
      <c r="AF260" s="64"/>
      <c r="AG260" s="44">
        <v>537.49074749619376</v>
      </c>
      <c r="AH260" s="44">
        <v>243.75997618875002</v>
      </c>
    </row>
    <row r="261" spans="1:34" ht="22.5" customHeight="1">
      <c r="A261" s="89">
        <v>136</v>
      </c>
      <c r="B261" s="105" t="s">
        <v>73</v>
      </c>
      <c r="C261" s="33" t="s">
        <v>65</v>
      </c>
      <c r="D261" s="98">
        <v>16</v>
      </c>
      <c r="E261" s="98"/>
      <c r="F261" s="33" t="s">
        <v>54</v>
      </c>
      <c r="G261" s="33" t="s">
        <v>116</v>
      </c>
      <c r="H261" s="79" t="s">
        <v>45</v>
      </c>
      <c r="I261" s="79" t="s">
        <v>47</v>
      </c>
      <c r="J261" s="39" t="s">
        <v>46</v>
      </c>
      <c r="K261" s="34">
        <v>24</v>
      </c>
      <c r="L261" s="38" t="s">
        <v>84</v>
      </c>
      <c r="M261" s="35">
        <v>25.5</v>
      </c>
      <c r="N261" s="35" t="s">
        <v>84</v>
      </c>
      <c r="O261" s="36">
        <v>1.25</v>
      </c>
      <c r="P261" s="36"/>
      <c r="Q261" s="36"/>
      <c r="R261" s="36"/>
      <c r="S261" s="36">
        <v>3</v>
      </c>
      <c r="T261" s="36"/>
      <c r="U261" s="71">
        <v>3</v>
      </c>
      <c r="V261" s="203"/>
      <c r="W261" s="50">
        <v>4.25</v>
      </c>
      <c r="X261" s="50">
        <v>12.75</v>
      </c>
      <c r="Y261" s="81">
        <v>4.25</v>
      </c>
      <c r="Z261" s="50">
        <v>12.75</v>
      </c>
      <c r="AA261" s="50">
        <v>0.39483792000000001</v>
      </c>
      <c r="AB261" s="50">
        <v>1.18451376</v>
      </c>
      <c r="AC261" s="64">
        <v>3.71</v>
      </c>
      <c r="AD261" s="64"/>
      <c r="AE261" s="64"/>
      <c r="AF261" s="64"/>
      <c r="AG261" s="44">
        <v>207.6423008436</v>
      </c>
      <c r="AH261" s="44">
        <v>94.16884392</v>
      </c>
    </row>
    <row r="262" spans="1:34" ht="22.5" customHeight="1">
      <c r="A262" s="89">
        <v>137</v>
      </c>
      <c r="B262" s="105" t="s">
        <v>73</v>
      </c>
      <c r="C262" s="33" t="s">
        <v>65</v>
      </c>
      <c r="D262" s="98">
        <v>16</v>
      </c>
      <c r="E262" s="98"/>
      <c r="F262" s="33" t="s">
        <v>54</v>
      </c>
      <c r="G262" s="33" t="s">
        <v>116</v>
      </c>
      <c r="H262" s="79" t="s">
        <v>45</v>
      </c>
      <c r="I262" s="79" t="s">
        <v>47</v>
      </c>
      <c r="J262" s="39" t="s">
        <v>46</v>
      </c>
      <c r="K262" s="34">
        <v>62.125</v>
      </c>
      <c r="L262" s="38" t="s">
        <v>84</v>
      </c>
      <c r="M262" s="35">
        <v>25.5</v>
      </c>
      <c r="N262" s="35" t="s">
        <v>84</v>
      </c>
      <c r="O262" s="36">
        <v>1.25</v>
      </c>
      <c r="P262" s="36"/>
      <c r="Q262" s="36"/>
      <c r="R262" s="36"/>
      <c r="S262" s="36"/>
      <c r="T262" s="36">
        <v>1</v>
      </c>
      <c r="U262" s="71">
        <v>1</v>
      </c>
      <c r="V262" s="203"/>
      <c r="W262" s="50">
        <v>11.001302083333334</v>
      </c>
      <c r="X262" s="50">
        <v>11.001302083333334</v>
      </c>
      <c r="Y262" s="81">
        <v>11.001302083333334</v>
      </c>
      <c r="Z262" s="50">
        <v>11.001302083333334</v>
      </c>
      <c r="AA262" s="50">
        <v>1.0220544075000002</v>
      </c>
      <c r="AB262" s="50">
        <v>1.0220544075000002</v>
      </c>
      <c r="AC262" s="64">
        <v>3.71</v>
      </c>
      <c r="AD262" s="64"/>
      <c r="AE262" s="64"/>
      <c r="AF262" s="64"/>
      <c r="AG262" s="44">
        <v>179.16358249873127</v>
      </c>
      <c r="AH262" s="44">
        <v>81.253325396250005</v>
      </c>
    </row>
    <row r="263" spans="1:34" ht="21.75" customHeight="1">
      <c r="A263" s="89">
        <v>138</v>
      </c>
      <c r="B263" s="104" t="s">
        <v>73</v>
      </c>
      <c r="C263" s="33" t="s">
        <v>65</v>
      </c>
      <c r="D263" s="98">
        <v>16</v>
      </c>
      <c r="E263" s="98"/>
      <c r="F263" s="33" t="s">
        <v>54</v>
      </c>
      <c r="G263" s="33" t="s">
        <v>116</v>
      </c>
      <c r="H263" s="79" t="s">
        <v>45</v>
      </c>
      <c r="I263" s="79" t="s">
        <v>47</v>
      </c>
      <c r="J263" s="39" t="s">
        <v>46</v>
      </c>
      <c r="K263" s="38">
        <v>24</v>
      </c>
      <c r="L263" s="80" t="s">
        <v>84</v>
      </c>
      <c r="M263" s="38">
        <v>25.5</v>
      </c>
      <c r="N263" s="35" t="s">
        <v>84</v>
      </c>
      <c r="O263" s="36">
        <v>1.25</v>
      </c>
      <c r="P263" s="36"/>
      <c r="Q263" s="36"/>
      <c r="R263" s="36"/>
      <c r="S263" s="36"/>
      <c r="T263" s="36">
        <v>1</v>
      </c>
      <c r="U263" s="71">
        <v>1</v>
      </c>
      <c r="V263" s="203"/>
      <c r="W263" s="50">
        <v>4.25</v>
      </c>
      <c r="X263" s="50">
        <v>4.25</v>
      </c>
      <c r="Y263" s="81">
        <v>4.25</v>
      </c>
      <c r="Z263" s="50">
        <v>4.25</v>
      </c>
      <c r="AA263" s="50">
        <v>0.39483792000000001</v>
      </c>
      <c r="AB263" s="50">
        <v>0.39483792000000001</v>
      </c>
      <c r="AC263" s="64">
        <v>3.71</v>
      </c>
      <c r="AD263" s="64"/>
      <c r="AE263" s="64"/>
      <c r="AF263" s="64"/>
      <c r="AG263" s="44">
        <v>69.21410028119999</v>
      </c>
      <c r="AH263" s="44">
        <v>31.389614639999994</v>
      </c>
    </row>
    <row r="264" spans="1:34" ht="22.5" customHeight="1">
      <c r="A264" s="89">
        <v>139</v>
      </c>
      <c r="B264" s="105" t="s">
        <v>75</v>
      </c>
      <c r="C264" s="33" t="s">
        <v>65</v>
      </c>
      <c r="D264" s="98">
        <v>29</v>
      </c>
      <c r="E264" s="98"/>
      <c r="F264" s="33" t="s">
        <v>54</v>
      </c>
      <c r="G264" s="33" t="s">
        <v>116</v>
      </c>
      <c r="H264" s="79" t="s">
        <v>58</v>
      </c>
      <c r="I264" s="79" t="s">
        <v>47</v>
      </c>
      <c r="J264" s="39" t="s">
        <v>46</v>
      </c>
      <c r="K264" s="34">
        <v>53.25</v>
      </c>
      <c r="L264" s="35" t="s">
        <v>84</v>
      </c>
      <c r="M264" s="35">
        <v>25.5</v>
      </c>
      <c r="N264" s="35" t="s">
        <v>84</v>
      </c>
      <c r="O264" s="36">
        <v>1.25</v>
      </c>
      <c r="P264" s="36"/>
      <c r="Q264" s="36"/>
      <c r="R264" s="36"/>
      <c r="S264" s="36">
        <v>1</v>
      </c>
      <c r="T264" s="36"/>
      <c r="U264" s="71">
        <v>1</v>
      </c>
      <c r="V264" s="203"/>
      <c r="W264" s="50">
        <v>9.4296875</v>
      </c>
      <c r="X264" s="50">
        <v>9.4296875</v>
      </c>
      <c r="Y264" s="81">
        <v>9.4296875</v>
      </c>
      <c r="Z264" s="50">
        <v>9.4296875</v>
      </c>
      <c r="AA264" s="50">
        <v>0.87604663500000002</v>
      </c>
      <c r="AB264" s="50">
        <v>0.87604663500000002</v>
      </c>
      <c r="AC264" s="64">
        <v>3.71</v>
      </c>
      <c r="AD264" s="64"/>
      <c r="AE264" s="64"/>
      <c r="AF264" s="64"/>
      <c r="AG264" s="44">
        <v>153.56878499891246</v>
      </c>
      <c r="AH264" s="44">
        <v>69.645707482499986</v>
      </c>
    </row>
    <row r="265" spans="1:34" ht="22.5" customHeight="1">
      <c r="A265" s="89">
        <v>140</v>
      </c>
      <c r="B265" s="105" t="s">
        <v>75</v>
      </c>
      <c r="C265" s="33" t="s">
        <v>65</v>
      </c>
      <c r="D265" s="98">
        <v>29</v>
      </c>
      <c r="E265" s="98"/>
      <c r="F265" s="33" t="s">
        <v>54</v>
      </c>
      <c r="G265" s="33" t="s">
        <v>116</v>
      </c>
      <c r="H265" s="79" t="s">
        <v>58</v>
      </c>
      <c r="I265" s="79" t="s">
        <v>47</v>
      </c>
      <c r="J265" s="39" t="s">
        <v>46</v>
      </c>
      <c r="K265" s="34">
        <v>25.125</v>
      </c>
      <c r="L265" s="38" t="s">
        <v>84</v>
      </c>
      <c r="M265" s="35">
        <v>25.5</v>
      </c>
      <c r="N265" s="35" t="s">
        <v>84</v>
      </c>
      <c r="O265" s="36">
        <v>1.25</v>
      </c>
      <c r="P265" s="36"/>
      <c r="Q265" s="36"/>
      <c r="R265" s="36"/>
      <c r="S265" s="36">
        <v>1</v>
      </c>
      <c r="T265" s="36"/>
      <c r="U265" s="71">
        <v>1</v>
      </c>
      <c r="V265" s="203"/>
      <c r="W265" s="50">
        <v>4.44921875</v>
      </c>
      <c r="X265" s="50">
        <v>4.44921875</v>
      </c>
      <c r="Y265" s="81">
        <v>4.44921875</v>
      </c>
      <c r="Z265" s="50">
        <v>4.44921875</v>
      </c>
      <c r="AA265" s="50">
        <v>0.41334594750000003</v>
      </c>
      <c r="AB265" s="50">
        <v>0.41334594750000003</v>
      </c>
      <c r="AC265" s="64">
        <v>3.71</v>
      </c>
      <c r="AD265" s="64"/>
      <c r="AE265" s="64"/>
      <c r="AF265" s="64"/>
      <c r="AG265" s="44">
        <v>72.458511231881261</v>
      </c>
      <c r="AH265" s="44">
        <v>32.861002826250001</v>
      </c>
    </row>
    <row r="266" spans="1:34" ht="22.5" customHeight="1">
      <c r="A266" s="89">
        <v>141</v>
      </c>
      <c r="B266" s="105" t="s">
        <v>75</v>
      </c>
      <c r="C266" s="33" t="s">
        <v>65</v>
      </c>
      <c r="D266" s="98">
        <v>29</v>
      </c>
      <c r="E266" s="98"/>
      <c r="F266" s="33" t="s">
        <v>54</v>
      </c>
      <c r="G266" s="33" t="s">
        <v>116</v>
      </c>
      <c r="H266" s="79" t="s">
        <v>45</v>
      </c>
      <c r="I266" s="79" t="s">
        <v>47</v>
      </c>
      <c r="J266" s="39" t="s">
        <v>46</v>
      </c>
      <c r="K266" s="34">
        <v>21</v>
      </c>
      <c r="L266" s="38" t="s">
        <v>84</v>
      </c>
      <c r="M266" s="35">
        <v>25.5</v>
      </c>
      <c r="N266" s="35" t="s">
        <v>84</v>
      </c>
      <c r="O266" s="36">
        <v>1.25</v>
      </c>
      <c r="P266" s="36"/>
      <c r="Q266" s="36"/>
      <c r="R266" s="36"/>
      <c r="S266" s="36">
        <v>1</v>
      </c>
      <c r="T266" s="36"/>
      <c r="U266" s="71">
        <v>1</v>
      </c>
      <c r="V266" s="203"/>
      <c r="W266" s="50">
        <v>3.71875</v>
      </c>
      <c r="X266" s="50">
        <v>3.71875</v>
      </c>
      <c r="Y266" s="81">
        <v>3.71875</v>
      </c>
      <c r="Z266" s="50">
        <v>3.71875</v>
      </c>
      <c r="AA266" s="50">
        <v>0.34548318</v>
      </c>
      <c r="AB266" s="50">
        <v>0.34548318</v>
      </c>
      <c r="AC266" s="64">
        <v>3.71</v>
      </c>
      <c r="AD266" s="64"/>
      <c r="AE266" s="64"/>
      <c r="AF266" s="64"/>
      <c r="AG266" s="44">
        <v>60.562337746049998</v>
      </c>
      <c r="AH266" s="44">
        <v>27.465912809999999</v>
      </c>
    </row>
    <row r="267" spans="1:34" ht="22.5" customHeight="1">
      <c r="A267" s="89">
        <v>142</v>
      </c>
      <c r="B267" s="105" t="s">
        <v>75</v>
      </c>
      <c r="C267" s="33" t="s">
        <v>65</v>
      </c>
      <c r="D267" s="98">
        <v>29</v>
      </c>
      <c r="E267" s="98"/>
      <c r="F267" s="33" t="s">
        <v>54</v>
      </c>
      <c r="G267" s="33" t="s">
        <v>116</v>
      </c>
      <c r="H267" s="79" t="s">
        <v>58</v>
      </c>
      <c r="I267" s="79" t="s">
        <v>47</v>
      </c>
      <c r="J267" s="39" t="s">
        <v>46</v>
      </c>
      <c r="K267" s="34">
        <v>53.25</v>
      </c>
      <c r="L267" s="38" t="s">
        <v>84</v>
      </c>
      <c r="M267" s="35">
        <v>25.5</v>
      </c>
      <c r="N267" s="35" t="s">
        <v>84</v>
      </c>
      <c r="O267" s="36">
        <v>1.25</v>
      </c>
      <c r="P267" s="36"/>
      <c r="Q267" s="36"/>
      <c r="R267" s="36"/>
      <c r="S267" s="36"/>
      <c r="T267" s="36">
        <v>1</v>
      </c>
      <c r="U267" s="71">
        <v>1</v>
      </c>
      <c r="V267" s="203"/>
      <c r="W267" s="50">
        <v>9.4296875</v>
      </c>
      <c r="X267" s="50">
        <v>9.4296875</v>
      </c>
      <c r="Y267" s="81">
        <v>9.4296875</v>
      </c>
      <c r="Z267" s="50">
        <v>9.4296875</v>
      </c>
      <c r="AA267" s="50">
        <v>0.87604663500000002</v>
      </c>
      <c r="AB267" s="50">
        <v>0.87604663500000002</v>
      </c>
      <c r="AC267" s="64">
        <v>3.71</v>
      </c>
      <c r="AD267" s="64"/>
      <c r="AE267" s="64"/>
      <c r="AF267" s="64"/>
      <c r="AG267" s="44">
        <v>153.56878499891246</v>
      </c>
      <c r="AH267" s="44">
        <v>69.645707482499986</v>
      </c>
    </row>
    <row r="268" spans="1:34" ht="22.5" customHeight="1">
      <c r="A268" s="89">
        <v>143</v>
      </c>
      <c r="B268" s="105" t="s">
        <v>75</v>
      </c>
      <c r="C268" s="33" t="s">
        <v>65</v>
      </c>
      <c r="D268" s="98">
        <v>29</v>
      </c>
      <c r="E268" s="98"/>
      <c r="F268" s="33" t="s">
        <v>54</v>
      </c>
      <c r="G268" s="33" t="s">
        <v>116</v>
      </c>
      <c r="H268" s="79" t="s">
        <v>58</v>
      </c>
      <c r="I268" s="79" t="s">
        <v>47</v>
      </c>
      <c r="J268" s="39" t="s">
        <v>46</v>
      </c>
      <c r="K268" s="34">
        <v>25.125</v>
      </c>
      <c r="L268" s="38" t="s">
        <v>84</v>
      </c>
      <c r="M268" s="35">
        <v>25.5</v>
      </c>
      <c r="N268" s="35" t="s">
        <v>84</v>
      </c>
      <c r="O268" s="36">
        <v>1.25</v>
      </c>
      <c r="P268" s="36"/>
      <c r="Q268" s="36"/>
      <c r="R268" s="36"/>
      <c r="S268" s="36"/>
      <c r="T268" s="36">
        <v>1</v>
      </c>
      <c r="U268" s="71">
        <v>1</v>
      </c>
      <c r="V268" s="203"/>
      <c r="W268" s="50">
        <v>4.44921875</v>
      </c>
      <c r="X268" s="50">
        <v>4.44921875</v>
      </c>
      <c r="Y268" s="81">
        <v>4.44921875</v>
      </c>
      <c r="Z268" s="50">
        <v>4.44921875</v>
      </c>
      <c r="AA268" s="50">
        <v>0.41334594750000003</v>
      </c>
      <c r="AB268" s="50">
        <v>0.41334594750000003</v>
      </c>
      <c r="AC268" s="64">
        <v>3.71</v>
      </c>
      <c r="AD268" s="64"/>
      <c r="AE268" s="64"/>
      <c r="AF268" s="64"/>
      <c r="AG268" s="44">
        <v>72.458511231881261</v>
      </c>
      <c r="AH268" s="44">
        <v>32.861002826250001</v>
      </c>
    </row>
    <row r="269" spans="1:34" ht="22.5" customHeight="1">
      <c r="A269" s="89">
        <v>144</v>
      </c>
      <c r="B269" s="104" t="s">
        <v>75</v>
      </c>
      <c r="C269" s="33" t="s">
        <v>65</v>
      </c>
      <c r="D269" s="98">
        <v>29</v>
      </c>
      <c r="E269" s="98"/>
      <c r="F269" s="33" t="s">
        <v>54</v>
      </c>
      <c r="G269" s="33" t="s">
        <v>116</v>
      </c>
      <c r="H269" s="79" t="s">
        <v>45</v>
      </c>
      <c r="I269" s="79" t="s">
        <v>47</v>
      </c>
      <c r="J269" s="39" t="s">
        <v>46</v>
      </c>
      <c r="K269" s="38">
        <v>21</v>
      </c>
      <c r="L269" s="80" t="s">
        <v>84</v>
      </c>
      <c r="M269" s="38">
        <v>25.5</v>
      </c>
      <c r="N269" s="35" t="s">
        <v>84</v>
      </c>
      <c r="O269" s="36">
        <v>1.25</v>
      </c>
      <c r="P269" s="36"/>
      <c r="Q269" s="36"/>
      <c r="R269" s="36"/>
      <c r="S269" s="36"/>
      <c r="T269" s="36">
        <v>1</v>
      </c>
      <c r="U269" s="71">
        <v>1</v>
      </c>
      <c r="V269" s="204"/>
      <c r="W269" s="50">
        <v>3.71875</v>
      </c>
      <c r="X269" s="50">
        <v>3.71875</v>
      </c>
      <c r="Y269" s="81">
        <v>3.71875</v>
      </c>
      <c r="Z269" s="50">
        <v>3.71875</v>
      </c>
      <c r="AA269" s="50">
        <v>0.34548318</v>
      </c>
      <c r="AB269" s="50">
        <v>0.34548318</v>
      </c>
      <c r="AC269" s="64">
        <v>3.71</v>
      </c>
      <c r="AD269" s="64"/>
      <c r="AE269" s="64"/>
      <c r="AF269" s="64"/>
      <c r="AG269" s="44">
        <v>60.562337746049998</v>
      </c>
      <c r="AH269" s="44">
        <v>27.465912809999999</v>
      </c>
    </row>
    <row r="270" spans="1:34" ht="22.5" customHeight="1">
      <c r="A270" s="89"/>
      <c r="B270" s="105"/>
      <c r="C270" s="33"/>
      <c r="D270" s="98"/>
      <c r="E270" s="98"/>
      <c r="F270" s="33"/>
      <c r="G270" s="33"/>
      <c r="H270" s="79"/>
      <c r="I270" s="79"/>
      <c r="J270" s="39"/>
      <c r="K270" s="38"/>
      <c r="L270" s="80"/>
      <c r="M270" s="38"/>
      <c r="N270" s="35"/>
      <c r="O270" s="36"/>
      <c r="P270" s="36"/>
      <c r="Q270" s="36"/>
      <c r="R270" s="36"/>
      <c r="S270" s="36"/>
      <c r="T270" s="36"/>
      <c r="U270" s="120">
        <f>SUBTOTAL(9,U256:U269)</f>
        <v>18</v>
      </c>
      <c r="V270" s="139"/>
      <c r="W270" s="129"/>
      <c r="X270" s="129"/>
      <c r="Y270" s="132"/>
      <c r="Z270" s="129"/>
      <c r="AA270" s="129"/>
      <c r="AB270" s="129"/>
      <c r="AC270" s="77"/>
      <c r="AD270" s="64"/>
      <c r="AE270" s="64"/>
      <c r="AF270" s="64"/>
      <c r="AG270" s="131">
        <f>SUBTOTAL(9,AG256:AG269)</f>
        <v>1979.8116601268246</v>
      </c>
      <c r="AH270" s="131">
        <f>SUBTOTAL(9,AH256:AH269)</f>
        <v>897.87376876500002</v>
      </c>
    </row>
    <row r="271" spans="1:34" ht="22.5" customHeight="1">
      <c r="A271" s="89">
        <v>145</v>
      </c>
      <c r="B271" s="73" t="s">
        <v>53</v>
      </c>
      <c r="C271" s="33"/>
      <c r="D271" s="98">
        <v>50</v>
      </c>
      <c r="E271" s="98"/>
      <c r="F271" s="33" t="s">
        <v>54</v>
      </c>
      <c r="G271" s="33" t="s">
        <v>116</v>
      </c>
      <c r="H271" s="79" t="s">
        <v>45</v>
      </c>
      <c r="I271" s="79" t="s">
        <v>47</v>
      </c>
      <c r="J271" s="39" t="s">
        <v>46</v>
      </c>
      <c r="K271" s="34">
        <v>109.375</v>
      </c>
      <c r="L271" s="35" t="s">
        <v>84</v>
      </c>
      <c r="M271" s="35">
        <v>43.625</v>
      </c>
      <c r="N271" s="35" t="s">
        <v>84</v>
      </c>
      <c r="O271" s="36">
        <v>1.25</v>
      </c>
      <c r="P271" s="36"/>
      <c r="Q271" s="36"/>
      <c r="R271" s="36"/>
      <c r="S271" s="36"/>
      <c r="T271" s="36"/>
      <c r="U271" s="71">
        <v>7</v>
      </c>
      <c r="V271" s="139">
        <v>21</v>
      </c>
      <c r="W271" s="50">
        <v>33.135308159722221</v>
      </c>
      <c r="X271" s="50">
        <v>231.94715711805554</v>
      </c>
      <c r="Y271" s="50">
        <v>33.135308159722221</v>
      </c>
      <c r="Z271" s="50">
        <v>231.94715711805554</v>
      </c>
      <c r="AA271" s="50">
        <v>3.0783708593750001</v>
      </c>
      <c r="AB271" s="50">
        <v>21.548596015625002</v>
      </c>
      <c r="AC271" s="64">
        <v>4.01</v>
      </c>
      <c r="AD271" s="64"/>
      <c r="AE271" s="64"/>
      <c r="AF271" s="64"/>
      <c r="AG271" s="44">
        <v>3777.4150100490233</v>
      </c>
      <c r="AH271" s="44">
        <v>1713.1133832421874</v>
      </c>
    </row>
    <row r="272" spans="1:34" ht="22.5" customHeight="1">
      <c r="A272" s="89"/>
      <c r="B272" s="73"/>
      <c r="C272" s="33"/>
      <c r="D272" s="98"/>
      <c r="E272" s="98"/>
      <c r="F272" s="33"/>
      <c r="G272" s="33"/>
      <c r="H272" s="79"/>
      <c r="I272" s="79"/>
      <c r="J272" s="39"/>
      <c r="K272" s="34"/>
      <c r="L272" s="38"/>
      <c r="M272" s="35"/>
      <c r="N272" s="35"/>
      <c r="O272" s="36"/>
      <c r="P272" s="36"/>
      <c r="Q272" s="36"/>
      <c r="R272" s="36"/>
      <c r="S272" s="36"/>
      <c r="T272" s="36"/>
      <c r="U272" s="120">
        <f>SUBTOTAL(9,U271:U271)</f>
        <v>7</v>
      </c>
      <c r="V272" s="139"/>
      <c r="W272" s="129"/>
      <c r="X272" s="129"/>
      <c r="Y272" s="129"/>
      <c r="Z272" s="129"/>
      <c r="AA272" s="129"/>
      <c r="AB272" s="129"/>
      <c r="AC272" s="77"/>
      <c r="AD272" s="64"/>
      <c r="AE272" s="64"/>
      <c r="AF272" s="64"/>
      <c r="AG272" s="131">
        <f>SUBTOTAL(9,AG271:AG271)</f>
        <v>3777.4150100490233</v>
      </c>
      <c r="AH272" s="131">
        <f>SUBTOTAL(9,AH271:AH271)</f>
        <v>1713.1133832421874</v>
      </c>
    </row>
    <row r="273" spans="1:34" ht="22.5" customHeight="1">
      <c r="A273" s="89">
        <v>146</v>
      </c>
      <c r="B273" s="73" t="s">
        <v>53</v>
      </c>
      <c r="C273" s="33"/>
      <c r="D273" s="98">
        <v>50</v>
      </c>
      <c r="E273" s="98"/>
      <c r="F273" s="33" t="s">
        <v>54</v>
      </c>
      <c r="G273" s="33" t="s">
        <v>116</v>
      </c>
      <c r="H273" s="79" t="s">
        <v>45</v>
      </c>
      <c r="I273" s="79" t="s">
        <v>47</v>
      </c>
      <c r="J273" s="39" t="s">
        <v>46</v>
      </c>
      <c r="K273" s="34">
        <v>109.375</v>
      </c>
      <c r="L273" s="38" t="s">
        <v>84</v>
      </c>
      <c r="M273" s="35">
        <v>43.625</v>
      </c>
      <c r="N273" s="35" t="s">
        <v>84</v>
      </c>
      <c r="O273" s="36">
        <v>1.25</v>
      </c>
      <c r="P273" s="36"/>
      <c r="Q273" s="36"/>
      <c r="R273" s="36"/>
      <c r="S273" s="36"/>
      <c r="T273" s="36"/>
      <c r="U273" s="71">
        <v>7</v>
      </c>
      <c r="V273" s="139">
        <v>22</v>
      </c>
      <c r="W273" s="50">
        <v>33.135308159722221</v>
      </c>
      <c r="X273" s="50">
        <v>231.94715711805554</v>
      </c>
      <c r="Y273" s="50">
        <v>33.135308159722221</v>
      </c>
      <c r="Z273" s="50">
        <v>231.94715711805554</v>
      </c>
      <c r="AA273" s="50">
        <v>3.0783708593750001</v>
      </c>
      <c r="AB273" s="50">
        <v>21.548596015625002</v>
      </c>
      <c r="AC273" s="64">
        <v>4.01</v>
      </c>
      <c r="AD273" s="64"/>
      <c r="AE273" s="64"/>
      <c r="AF273" s="64"/>
      <c r="AG273" s="44">
        <v>3777.4150100490233</v>
      </c>
      <c r="AH273" s="44">
        <v>1713.1133832421874</v>
      </c>
    </row>
    <row r="274" spans="1:34" ht="22.5" customHeight="1">
      <c r="A274" s="89"/>
      <c r="B274" s="73"/>
      <c r="C274" s="33"/>
      <c r="D274" s="98"/>
      <c r="E274" s="98"/>
      <c r="F274" s="33"/>
      <c r="G274" s="33"/>
      <c r="H274" s="79"/>
      <c r="I274" s="79"/>
      <c r="J274" s="39"/>
      <c r="K274" s="34"/>
      <c r="L274" s="38"/>
      <c r="M274" s="35"/>
      <c r="N274" s="35"/>
      <c r="O274" s="36"/>
      <c r="P274" s="36"/>
      <c r="Q274" s="36"/>
      <c r="R274" s="36"/>
      <c r="S274" s="36"/>
      <c r="T274" s="36"/>
      <c r="U274" s="120">
        <f>SUBTOTAL(9,U273:U273)</f>
        <v>7</v>
      </c>
      <c r="V274" s="139"/>
      <c r="W274" s="129"/>
      <c r="X274" s="129"/>
      <c r="Y274" s="129"/>
      <c r="Z274" s="129"/>
      <c r="AA274" s="129"/>
      <c r="AB274" s="129"/>
      <c r="AC274" s="77"/>
      <c r="AD274" s="64"/>
      <c r="AE274" s="64"/>
      <c r="AF274" s="64"/>
      <c r="AG274" s="131">
        <f>SUBTOTAL(9,AG273:AG273)</f>
        <v>3777.4150100490233</v>
      </c>
      <c r="AH274" s="131">
        <f>SUBTOTAL(9,AH273:AH273)</f>
        <v>1713.1133832421874</v>
      </c>
    </row>
    <row r="275" spans="1:34" ht="22.5" customHeight="1">
      <c r="A275" s="89">
        <v>147</v>
      </c>
      <c r="B275" s="73" t="s">
        <v>53</v>
      </c>
      <c r="C275" s="33"/>
      <c r="D275" s="98">
        <v>50</v>
      </c>
      <c r="E275" s="98"/>
      <c r="F275" s="33" t="s">
        <v>54</v>
      </c>
      <c r="G275" s="33" t="s">
        <v>116</v>
      </c>
      <c r="H275" s="79" t="s">
        <v>45</v>
      </c>
      <c r="I275" s="79" t="s">
        <v>47</v>
      </c>
      <c r="J275" s="39" t="s">
        <v>46</v>
      </c>
      <c r="K275" s="34">
        <v>109.375</v>
      </c>
      <c r="L275" s="38" t="s">
        <v>84</v>
      </c>
      <c r="M275" s="35">
        <v>43.625</v>
      </c>
      <c r="N275" s="35" t="s">
        <v>84</v>
      </c>
      <c r="O275" s="36">
        <v>1.25</v>
      </c>
      <c r="P275" s="36"/>
      <c r="Q275" s="36"/>
      <c r="R275" s="36"/>
      <c r="S275" s="36"/>
      <c r="T275" s="36"/>
      <c r="U275" s="71">
        <v>2</v>
      </c>
      <c r="V275" s="202">
        <v>23</v>
      </c>
      <c r="W275" s="50">
        <v>33.135308159722221</v>
      </c>
      <c r="X275" s="50">
        <v>66.270616319444443</v>
      </c>
      <c r="Y275" s="50">
        <v>33.135308159722221</v>
      </c>
      <c r="Z275" s="50">
        <v>66.270616319444443</v>
      </c>
      <c r="AA275" s="50">
        <v>3.0783708593750001</v>
      </c>
      <c r="AB275" s="50">
        <v>6.1567417187500002</v>
      </c>
      <c r="AC275" s="64">
        <v>4.01</v>
      </c>
      <c r="AD275" s="64"/>
      <c r="AE275" s="64"/>
      <c r="AF275" s="64"/>
      <c r="AG275" s="44">
        <v>1079.261431442578</v>
      </c>
      <c r="AH275" s="44">
        <v>489.46096664062492</v>
      </c>
    </row>
    <row r="276" spans="1:34" ht="22.5" customHeight="1">
      <c r="A276" s="89">
        <v>148</v>
      </c>
      <c r="B276" s="73" t="s">
        <v>53</v>
      </c>
      <c r="C276" s="33"/>
      <c r="D276" s="98">
        <v>50</v>
      </c>
      <c r="E276" s="98"/>
      <c r="F276" s="33" t="s">
        <v>54</v>
      </c>
      <c r="G276" s="33" t="s">
        <v>116</v>
      </c>
      <c r="H276" s="79" t="s">
        <v>45</v>
      </c>
      <c r="I276" s="79" t="s">
        <v>47</v>
      </c>
      <c r="J276" s="39" t="s">
        <v>46</v>
      </c>
      <c r="K276" s="111">
        <v>92.25</v>
      </c>
      <c r="L276" s="119" t="s">
        <v>84</v>
      </c>
      <c r="M276" s="108">
        <v>25.5</v>
      </c>
      <c r="N276" s="108" t="s">
        <v>84</v>
      </c>
      <c r="O276" s="112">
        <v>1.25</v>
      </c>
      <c r="P276" s="36"/>
      <c r="Q276" s="36"/>
      <c r="R276" s="36"/>
      <c r="S276" s="36"/>
      <c r="T276" s="36"/>
      <c r="U276" s="71">
        <v>8</v>
      </c>
      <c r="V276" s="204"/>
      <c r="W276" s="50">
        <v>16.3359375</v>
      </c>
      <c r="X276" s="50">
        <v>130.6875</v>
      </c>
      <c r="Y276" s="50">
        <v>16.3359375</v>
      </c>
      <c r="Z276" s="50">
        <v>130.6875</v>
      </c>
      <c r="AA276" s="50">
        <v>1.5176582550000002</v>
      </c>
      <c r="AB276" s="50">
        <v>12.141266040000001</v>
      </c>
      <c r="AC276" s="64">
        <v>3.71</v>
      </c>
      <c r="AD276" s="64"/>
      <c r="AE276" s="64"/>
      <c r="AF276" s="64"/>
      <c r="AG276" s="44">
        <v>2128.3335836469005</v>
      </c>
      <c r="AH276" s="44">
        <v>965.23065018000011</v>
      </c>
    </row>
    <row r="277" spans="1:34" ht="22.5" customHeight="1">
      <c r="A277" s="89"/>
      <c r="B277" s="73"/>
      <c r="C277" s="33"/>
      <c r="D277" s="98"/>
      <c r="E277" s="98"/>
      <c r="F277" s="33"/>
      <c r="G277" s="33"/>
      <c r="H277" s="79"/>
      <c r="I277" s="79"/>
      <c r="J277" s="39"/>
      <c r="K277" s="111"/>
      <c r="L277" s="119"/>
      <c r="M277" s="108"/>
      <c r="N277" s="108"/>
      <c r="O277" s="112"/>
      <c r="P277" s="36"/>
      <c r="Q277" s="36"/>
      <c r="R277" s="36"/>
      <c r="S277" s="36"/>
      <c r="T277" s="36"/>
      <c r="U277" s="120">
        <f>SUBTOTAL(9,U275:U276)</f>
        <v>10</v>
      </c>
      <c r="V277" s="139"/>
      <c r="W277" s="129"/>
      <c r="X277" s="129"/>
      <c r="Y277" s="129"/>
      <c r="Z277" s="129"/>
      <c r="AA277" s="129"/>
      <c r="AB277" s="129"/>
      <c r="AC277" s="77"/>
      <c r="AD277" s="64"/>
      <c r="AE277" s="64"/>
      <c r="AF277" s="64"/>
      <c r="AG277" s="131">
        <f>SUBTOTAL(9,AG275:AG276)</f>
        <v>3207.5950150894787</v>
      </c>
      <c r="AH277" s="131">
        <f>SUBTOTAL(9,AH275:AH276)</f>
        <v>1454.6916168206251</v>
      </c>
    </row>
    <row r="278" spans="1:34" ht="22.5" customHeight="1">
      <c r="A278" s="89">
        <v>149</v>
      </c>
      <c r="B278" s="73" t="s">
        <v>53</v>
      </c>
      <c r="C278" s="33"/>
      <c r="D278" s="98">
        <v>50</v>
      </c>
      <c r="E278" s="98"/>
      <c r="F278" s="33" t="s">
        <v>54</v>
      </c>
      <c r="G278" s="33" t="s">
        <v>116</v>
      </c>
      <c r="H278" s="79" t="s">
        <v>45</v>
      </c>
      <c r="I278" s="79" t="s">
        <v>47</v>
      </c>
      <c r="J278" s="39" t="s">
        <v>46</v>
      </c>
      <c r="K278" s="111">
        <v>92.25</v>
      </c>
      <c r="L278" s="119" t="s">
        <v>84</v>
      </c>
      <c r="M278" s="108">
        <v>25.5</v>
      </c>
      <c r="N278" s="108" t="s">
        <v>84</v>
      </c>
      <c r="O278" s="112">
        <v>1.25</v>
      </c>
      <c r="P278" s="36"/>
      <c r="Q278" s="36"/>
      <c r="R278" s="36"/>
      <c r="S278" s="36"/>
      <c r="T278" s="36"/>
      <c r="U278" s="71">
        <v>10</v>
      </c>
      <c r="V278" s="139">
        <v>24</v>
      </c>
      <c r="W278" s="50">
        <v>16.3359375</v>
      </c>
      <c r="X278" s="50">
        <v>163.359375</v>
      </c>
      <c r="Y278" s="50">
        <v>16.3359375</v>
      </c>
      <c r="Z278" s="50">
        <v>163.359375</v>
      </c>
      <c r="AA278" s="50">
        <v>1.5176582550000002</v>
      </c>
      <c r="AB278" s="50">
        <v>15.176582550000003</v>
      </c>
      <c r="AC278" s="64">
        <v>3.71</v>
      </c>
      <c r="AD278" s="64"/>
      <c r="AE278" s="64"/>
      <c r="AF278" s="64"/>
      <c r="AG278" s="44">
        <v>2660.4169795586249</v>
      </c>
      <c r="AH278" s="44">
        <v>1206.538312725</v>
      </c>
    </row>
    <row r="279" spans="1:34" ht="22.5" customHeight="1">
      <c r="A279" s="89"/>
      <c r="B279" s="73"/>
      <c r="C279" s="33"/>
      <c r="D279" s="98"/>
      <c r="E279" s="98"/>
      <c r="F279" s="33"/>
      <c r="G279" s="33"/>
      <c r="H279" s="79"/>
      <c r="I279" s="79"/>
      <c r="J279" s="39"/>
      <c r="K279" s="119"/>
      <c r="L279" s="122"/>
      <c r="M279" s="119"/>
      <c r="N279" s="108"/>
      <c r="O279" s="112"/>
      <c r="P279" s="36"/>
      <c r="Q279" s="36"/>
      <c r="R279" s="36"/>
      <c r="S279" s="36"/>
      <c r="T279" s="36"/>
      <c r="U279" s="120">
        <f>SUBTOTAL(9,U278:U278)</f>
        <v>10</v>
      </c>
      <c r="V279" s="139"/>
      <c r="W279" s="129"/>
      <c r="X279" s="129"/>
      <c r="Y279" s="129"/>
      <c r="Z279" s="129"/>
      <c r="AA279" s="129"/>
      <c r="AB279" s="129"/>
      <c r="AC279" s="77"/>
      <c r="AD279" s="64"/>
      <c r="AE279" s="64"/>
      <c r="AF279" s="64"/>
      <c r="AG279" s="131">
        <f>SUBTOTAL(9,AG278:AG278)</f>
        <v>2660.4169795586249</v>
      </c>
      <c r="AH279" s="131">
        <f>SUBTOTAL(9,AH278:AH278)</f>
        <v>1206.538312725</v>
      </c>
    </row>
    <row r="280" spans="1:34" ht="22.5" customHeight="1">
      <c r="A280" s="89">
        <v>150</v>
      </c>
      <c r="B280" s="33" t="s">
        <v>53</v>
      </c>
      <c r="C280" s="33"/>
      <c r="D280" s="98">
        <v>50</v>
      </c>
      <c r="E280" s="98"/>
      <c r="F280" s="33" t="s">
        <v>54</v>
      </c>
      <c r="G280" s="33" t="s">
        <v>116</v>
      </c>
      <c r="H280" s="79" t="s">
        <v>61</v>
      </c>
      <c r="I280" s="79" t="s">
        <v>60</v>
      </c>
      <c r="J280" s="39" t="s">
        <v>46</v>
      </c>
      <c r="K280" s="38">
        <v>79.5</v>
      </c>
      <c r="L280" s="80" t="s">
        <v>84</v>
      </c>
      <c r="M280" s="38">
        <v>22.5</v>
      </c>
      <c r="N280" s="35" t="s">
        <v>84</v>
      </c>
      <c r="O280" s="36">
        <v>0.75</v>
      </c>
      <c r="P280" s="36"/>
      <c r="Q280" s="36"/>
      <c r="R280" s="36"/>
      <c r="S280" s="36"/>
      <c r="T280" s="36"/>
      <c r="U280" s="71">
        <v>25</v>
      </c>
      <c r="V280" s="139">
        <v>25</v>
      </c>
      <c r="W280" s="50">
        <v>12.421875</v>
      </c>
      <c r="X280" s="50">
        <v>310.546875</v>
      </c>
      <c r="Y280" s="50">
        <v>12.421875</v>
      </c>
      <c r="Z280" s="50">
        <v>310.546875</v>
      </c>
      <c r="AA280" s="50">
        <v>1.15402995</v>
      </c>
      <c r="AB280" s="50">
        <v>28.850748750000001</v>
      </c>
      <c r="AC280" s="64">
        <v>3.13</v>
      </c>
      <c r="AD280" s="64"/>
      <c r="AE280" s="64"/>
      <c r="AF280" s="64"/>
      <c r="AG280" s="44">
        <v>3371.6427526687503</v>
      </c>
      <c r="AH280" s="44">
        <v>1529.0896837500002</v>
      </c>
    </row>
    <row r="281" spans="1:34" ht="22.5" customHeight="1">
      <c r="A281" s="89"/>
      <c r="B281" s="73"/>
      <c r="C281" s="33"/>
      <c r="D281" s="98"/>
      <c r="E281" s="98"/>
      <c r="F281" s="33"/>
      <c r="G281" s="33"/>
      <c r="H281" s="79"/>
      <c r="I281" s="79"/>
      <c r="J281" s="39"/>
      <c r="K281" s="38"/>
      <c r="L281" s="80"/>
      <c r="M281" s="38"/>
      <c r="N281" s="35"/>
      <c r="O281" s="36"/>
      <c r="P281" s="36"/>
      <c r="Q281" s="36"/>
      <c r="R281" s="36"/>
      <c r="S281" s="36"/>
      <c r="T281" s="36"/>
      <c r="U281" s="120">
        <f>SUBTOTAL(9,U280:U280)</f>
        <v>25</v>
      </c>
      <c r="V281" s="139"/>
      <c r="W281" s="129"/>
      <c r="X281" s="129"/>
      <c r="Y281" s="129"/>
      <c r="Z281" s="129"/>
      <c r="AA281" s="129"/>
      <c r="AB281" s="129"/>
      <c r="AC281" s="77"/>
      <c r="AD281" s="64"/>
      <c r="AE281" s="64"/>
      <c r="AF281" s="64"/>
      <c r="AG281" s="131">
        <f>SUBTOTAL(9,AG280:AG280)</f>
        <v>3371.6427526687503</v>
      </c>
      <c r="AH281" s="131">
        <f>SUBTOTAL(9,AH280:AH280)</f>
        <v>1529.0896837500002</v>
      </c>
    </row>
    <row r="282" spans="1:34" ht="22.5" customHeight="1">
      <c r="A282" s="89">
        <v>151</v>
      </c>
      <c r="B282" s="73" t="s">
        <v>53</v>
      </c>
      <c r="C282" s="33"/>
      <c r="D282" s="98">
        <v>50</v>
      </c>
      <c r="E282" s="98"/>
      <c r="F282" s="33" t="s">
        <v>54</v>
      </c>
      <c r="G282" s="33" t="s">
        <v>116</v>
      </c>
      <c r="H282" s="79" t="s">
        <v>55</v>
      </c>
      <c r="I282" s="79" t="s">
        <v>60</v>
      </c>
      <c r="J282" s="39" t="s">
        <v>46</v>
      </c>
      <c r="K282" s="34">
        <v>79.5</v>
      </c>
      <c r="L282" s="35" t="s">
        <v>84</v>
      </c>
      <c r="M282" s="35">
        <v>4</v>
      </c>
      <c r="N282" s="35" t="s">
        <v>84</v>
      </c>
      <c r="O282" s="36">
        <v>0.75</v>
      </c>
      <c r="P282" s="36"/>
      <c r="Q282" s="36"/>
      <c r="R282" s="36"/>
      <c r="S282" s="36"/>
      <c r="T282" s="36"/>
      <c r="U282" s="71">
        <v>50</v>
      </c>
      <c r="V282" s="202">
        <v>26</v>
      </c>
      <c r="W282" s="50">
        <v>2.2083333333333335</v>
      </c>
      <c r="X282" s="50">
        <v>110.41666666666667</v>
      </c>
      <c r="Y282" s="50">
        <v>2.2083333333333335</v>
      </c>
      <c r="Z282" s="50">
        <v>110.41666666666667</v>
      </c>
      <c r="AA282" s="50">
        <v>0.20516088000000002</v>
      </c>
      <c r="AB282" s="50">
        <v>10.258044000000002</v>
      </c>
      <c r="AC282" s="64">
        <v>3.13</v>
      </c>
      <c r="AD282" s="64"/>
      <c r="AE282" s="64"/>
      <c r="AF282" s="64"/>
      <c r="AG282" s="44">
        <v>1198.8063120600002</v>
      </c>
      <c r="AH282" s="44">
        <v>543.67633200000012</v>
      </c>
    </row>
    <row r="283" spans="1:34" ht="22.5" customHeight="1">
      <c r="A283" s="89">
        <v>152</v>
      </c>
      <c r="B283" s="73" t="s">
        <v>53</v>
      </c>
      <c r="C283" s="33"/>
      <c r="D283" s="98">
        <v>50</v>
      </c>
      <c r="E283" s="98"/>
      <c r="F283" s="33" t="s">
        <v>54</v>
      </c>
      <c r="G283" s="33" t="s">
        <v>116</v>
      </c>
      <c r="H283" s="79" t="s">
        <v>55</v>
      </c>
      <c r="I283" s="79" t="s">
        <v>60</v>
      </c>
      <c r="J283" s="39" t="s">
        <v>46</v>
      </c>
      <c r="K283" s="34">
        <v>79.5</v>
      </c>
      <c r="L283" s="38" t="s">
        <v>84</v>
      </c>
      <c r="M283" s="35">
        <v>4</v>
      </c>
      <c r="N283" s="35" t="s">
        <v>84</v>
      </c>
      <c r="O283" s="36">
        <v>0.75</v>
      </c>
      <c r="P283" s="36"/>
      <c r="Q283" s="36"/>
      <c r="R283" s="36"/>
      <c r="S283" s="36"/>
      <c r="T283" s="36"/>
      <c r="U283" s="71">
        <v>40</v>
      </c>
      <c r="V283" s="204"/>
      <c r="W283" s="50">
        <v>2.2083333333333335</v>
      </c>
      <c r="X283" s="50">
        <v>88.333333333333343</v>
      </c>
      <c r="Y283" s="50">
        <v>2.2083333333333335</v>
      </c>
      <c r="Z283" s="50">
        <v>88.333333333333343</v>
      </c>
      <c r="AA283" s="50">
        <v>0.20516088000000002</v>
      </c>
      <c r="AB283" s="50">
        <v>8.2064352000000014</v>
      </c>
      <c r="AC283" s="64">
        <v>0</v>
      </c>
      <c r="AD283" s="64"/>
      <c r="AE283" s="64"/>
      <c r="AF283" s="64"/>
      <c r="AG283" s="44">
        <v>959.04504964800014</v>
      </c>
      <c r="AH283" s="44">
        <v>434.94106560000006</v>
      </c>
    </row>
    <row r="284" spans="1:34" ht="22.5" customHeight="1">
      <c r="A284" s="89"/>
      <c r="B284" s="73"/>
      <c r="C284" s="33"/>
      <c r="D284" s="98"/>
      <c r="E284" s="98"/>
      <c r="F284" s="33"/>
      <c r="G284" s="33"/>
      <c r="H284" s="79"/>
      <c r="I284" s="79"/>
      <c r="J284" s="39"/>
      <c r="K284" s="34"/>
      <c r="L284" s="38"/>
      <c r="M284" s="35"/>
      <c r="N284" s="35"/>
      <c r="O284" s="36"/>
      <c r="P284" s="36"/>
      <c r="Q284" s="36"/>
      <c r="R284" s="36"/>
      <c r="S284" s="36"/>
      <c r="T284" s="36"/>
      <c r="U284" s="120">
        <f>SUBTOTAL(9,U282:U283)</f>
        <v>90</v>
      </c>
      <c r="V284" s="139"/>
      <c r="W284" s="129"/>
      <c r="X284" s="129"/>
      <c r="Y284" s="129"/>
      <c r="Z284" s="129"/>
      <c r="AA284" s="129"/>
      <c r="AB284" s="129"/>
      <c r="AC284" s="77"/>
      <c r="AD284" s="64"/>
      <c r="AE284" s="64"/>
      <c r="AF284" s="64"/>
      <c r="AG284" s="131">
        <f>SUBTOTAL(9,AG282:AG283)</f>
        <v>2157.8513617080002</v>
      </c>
      <c r="AH284" s="131">
        <f>SUBTOTAL(9,AH282:AH283)</f>
        <v>978.61739760000023</v>
      </c>
    </row>
    <row r="285" spans="1:34" ht="22.5" customHeight="1">
      <c r="A285" s="89">
        <v>236</v>
      </c>
      <c r="B285" s="105" t="s">
        <v>70</v>
      </c>
      <c r="C285" s="33" t="s">
        <v>43</v>
      </c>
      <c r="D285" s="98">
        <v>2</v>
      </c>
      <c r="E285" s="98"/>
      <c r="F285" s="33" t="s">
        <v>54</v>
      </c>
      <c r="G285" s="33" t="s">
        <v>116</v>
      </c>
      <c r="H285" s="79" t="s">
        <v>61</v>
      </c>
      <c r="I285" s="79" t="s">
        <v>60</v>
      </c>
      <c r="J285" s="39" t="s">
        <v>46</v>
      </c>
      <c r="K285" s="34">
        <v>49.5</v>
      </c>
      <c r="L285" s="35" t="s">
        <v>84</v>
      </c>
      <c r="M285" s="35">
        <v>22.5</v>
      </c>
      <c r="N285" s="35" t="s">
        <v>84</v>
      </c>
      <c r="O285" s="36">
        <v>0.75</v>
      </c>
      <c r="P285" s="36"/>
      <c r="Q285" s="36"/>
      <c r="R285" s="36">
        <v>2</v>
      </c>
      <c r="S285" s="36"/>
      <c r="T285" s="36"/>
      <c r="U285" s="71">
        <v>2</v>
      </c>
      <c r="V285" s="202">
        <v>31</v>
      </c>
      <c r="W285" s="50">
        <v>7.734375</v>
      </c>
      <c r="X285" s="50">
        <v>15.46875</v>
      </c>
      <c r="Y285" s="81">
        <v>7.734375</v>
      </c>
      <c r="Z285" s="50">
        <v>15.46875</v>
      </c>
      <c r="AA285" s="50">
        <v>0.71854695000000002</v>
      </c>
      <c r="AB285" s="50">
        <v>1.4370939</v>
      </c>
      <c r="AC285" s="64">
        <v>3.13</v>
      </c>
      <c r="AD285" s="64"/>
      <c r="AE285" s="64">
        <v>1</v>
      </c>
      <c r="AF285" s="64"/>
      <c r="AG285" s="44">
        <v>167.9459786235</v>
      </c>
      <c r="AH285" s="44">
        <v>76.165976700000002</v>
      </c>
    </row>
    <row r="286" spans="1:34" ht="22.5" customHeight="1">
      <c r="A286" s="89">
        <v>237</v>
      </c>
      <c r="B286" s="105" t="s">
        <v>70</v>
      </c>
      <c r="C286" s="33" t="s">
        <v>43</v>
      </c>
      <c r="D286" s="98">
        <v>2</v>
      </c>
      <c r="E286" s="98"/>
      <c r="F286" s="33" t="s">
        <v>54</v>
      </c>
      <c r="G286" s="33" t="s">
        <v>116</v>
      </c>
      <c r="H286" s="79" t="s">
        <v>55</v>
      </c>
      <c r="I286" s="79" t="s">
        <v>60</v>
      </c>
      <c r="J286" s="39" t="s">
        <v>46</v>
      </c>
      <c r="K286" s="34">
        <v>49.5</v>
      </c>
      <c r="L286" s="38" t="s">
        <v>84</v>
      </c>
      <c r="M286" s="35">
        <v>3</v>
      </c>
      <c r="N286" s="35" t="s">
        <v>84</v>
      </c>
      <c r="O286" s="36">
        <v>0.75</v>
      </c>
      <c r="P286" s="36"/>
      <c r="Q286" s="36"/>
      <c r="R286" s="36">
        <v>2</v>
      </c>
      <c r="S286" s="36"/>
      <c r="T286" s="36"/>
      <c r="U286" s="71">
        <v>2</v>
      </c>
      <c r="V286" s="203"/>
      <c r="W286" s="50">
        <v>1.03125</v>
      </c>
      <c r="X286" s="50">
        <v>2.0625</v>
      </c>
      <c r="Y286" s="81">
        <v>1.03125</v>
      </c>
      <c r="Z286" s="50">
        <v>2.0625</v>
      </c>
      <c r="AA286" s="50">
        <v>9.5806260000000004E-2</v>
      </c>
      <c r="AB286" s="50">
        <v>0.19161252000000001</v>
      </c>
      <c r="AC286" s="64">
        <v>3.13</v>
      </c>
      <c r="AD286" s="64"/>
      <c r="AE286" s="64"/>
      <c r="AF286" s="64"/>
      <c r="AG286" s="44">
        <v>22.3927971498</v>
      </c>
      <c r="AH286" s="44">
        <v>10.155463559999999</v>
      </c>
    </row>
    <row r="287" spans="1:34" ht="22.5" customHeight="1">
      <c r="A287" s="89">
        <v>238</v>
      </c>
      <c r="B287" s="105" t="s">
        <v>70</v>
      </c>
      <c r="C287" s="33" t="s">
        <v>43</v>
      </c>
      <c r="D287" s="98">
        <v>2</v>
      </c>
      <c r="E287" s="98"/>
      <c r="F287" s="33" t="s">
        <v>54</v>
      </c>
      <c r="G287" s="33" t="s">
        <v>116</v>
      </c>
      <c r="H287" s="79" t="s">
        <v>56</v>
      </c>
      <c r="I287" s="79" t="s">
        <v>60</v>
      </c>
      <c r="J287" s="39" t="s">
        <v>46</v>
      </c>
      <c r="K287" s="34">
        <v>21.75</v>
      </c>
      <c r="L287" s="38" t="s">
        <v>84</v>
      </c>
      <c r="M287" s="35">
        <v>3</v>
      </c>
      <c r="N287" s="35" t="s">
        <v>84</v>
      </c>
      <c r="O287" s="36">
        <v>0.75</v>
      </c>
      <c r="P287" s="36"/>
      <c r="Q287" s="36"/>
      <c r="R287" s="36">
        <v>2</v>
      </c>
      <c r="S287" s="36"/>
      <c r="T287" s="36"/>
      <c r="U287" s="71">
        <v>2</v>
      </c>
      <c r="V287" s="203"/>
      <c r="W287" s="50">
        <v>0.453125</v>
      </c>
      <c r="X287" s="50">
        <v>0.90625</v>
      </c>
      <c r="Y287" s="81">
        <v>0.453125</v>
      </c>
      <c r="Z287" s="50">
        <v>0.90625</v>
      </c>
      <c r="AA287" s="50">
        <v>4.2096690000000006E-2</v>
      </c>
      <c r="AB287" s="50">
        <v>8.4193380000000012E-2</v>
      </c>
      <c r="AC287" s="64">
        <v>3.13</v>
      </c>
      <c r="AD287" s="64"/>
      <c r="AE287" s="64"/>
      <c r="AF287" s="64"/>
      <c r="AG287" s="44">
        <v>9.839259353700001</v>
      </c>
      <c r="AH287" s="44">
        <v>4.4622491399999999</v>
      </c>
    </row>
    <row r="288" spans="1:34" ht="22.5" customHeight="1">
      <c r="A288" s="89">
        <v>239</v>
      </c>
      <c r="B288" s="105" t="s">
        <v>70</v>
      </c>
      <c r="C288" s="33" t="s">
        <v>65</v>
      </c>
      <c r="D288" s="98">
        <v>4</v>
      </c>
      <c r="E288" s="98"/>
      <c r="F288" s="33" t="s">
        <v>54</v>
      </c>
      <c r="G288" s="33" t="s">
        <v>116</v>
      </c>
      <c r="H288" s="79" t="s">
        <v>61</v>
      </c>
      <c r="I288" s="79" t="s">
        <v>60</v>
      </c>
      <c r="J288" s="39" t="s">
        <v>46</v>
      </c>
      <c r="K288" s="34">
        <v>49.5</v>
      </c>
      <c r="L288" s="35" t="s">
        <v>84</v>
      </c>
      <c r="M288" s="35">
        <v>22.5</v>
      </c>
      <c r="N288" s="35" t="s">
        <v>84</v>
      </c>
      <c r="O288" s="36">
        <v>0.75</v>
      </c>
      <c r="P288" s="36"/>
      <c r="Q288" s="36"/>
      <c r="R288" s="36">
        <v>3</v>
      </c>
      <c r="S288" s="36"/>
      <c r="T288" s="36"/>
      <c r="U288" s="71">
        <v>3</v>
      </c>
      <c r="V288" s="203"/>
      <c r="W288" s="50">
        <v>7.734375</v>
      </c>
      <c r="X288" s="50">
        <v>23.203125</v>
      </c>
      <c r="Y288" s="81">
        <v>7.734375</v>
      </c>
      <c r="Z288" s="50">
        <v>23.203125</v>
      </c>
      <c r="AA288" s="50">
        <v>0.71854695000000002</v>
      </c>
      <c r="AB288" s="50">
        <v>2.1556408500000002</v>
      </c>
      <c r="AC288" s="64">
        <v>3.13</v>
      </c>
      <c r="AD288" s="64"/>
      <c r="AE288" s="64">
        <v>1</v>
      </c>
      <c r="AF288" s="64"/>
      <c r="AG288" s="44">
        <v>251.91896793525004</v>
      </c>
      <c r="AH288" s="44">
        <v>114.24896505000001</v>
      </c>
    </row>
    <row r="289" spans="1:34" ht="22.5" customHeight="1">
      <c r="A289" s="89">
        <v>240</v>
      </c>
      <c r="B289" s="105" t="s">
        <v>70</v>
      </c>
      <c r="C289" s="33" t="s">
        <v>65</v>
      </c>
      <c r="D289" s="98">
        <v>4</v>
      </c>
      <c r="E289" s="98"/>
      <c r="F289" s="33" t="s">
        <v>54</v>
      </c>
      <c r="G289" s="33" t="s">
        <v>116</v>
      </c>
      <c r="H289" s="79" t="s">
        <v>55</v>
      </c>
      <c r="I289" s="79" t="s">
        <v>60</v>
      </c>
      <c r="J289" s="39" t="s">
        <v>46</v>
      </c>
      <c r="K289" s="34">
        <v>49.5</v>
      </c>
      <c r="L289" s="35" t="s">
        <v>84</v>
      </c>
      <c r="M289" s="35">
        <v>3</v>
      </c>
      <c r="N289" s="35" t="s">
        <v>84</v>
      </c>
      <c r="O289" s="36">
        <v>0.75</v>
      </c>
      <c r="P289" s="36"/>
      <c r="Q289" s="36"/>
      <c r="R289" s="36">
        <v>3</v>
      </c>
      <c r="S289" s="36"/>
      <c r="T289" s="36"/>
      <c r="U289" s="71">
        <v>3</v>
      </c>
      <c r="V289" s="203"/>
      <c r="W289" s="50">
        <v>1.03125</v>
      </c>
      <c r="X289" s="50">
        <v>3.09375</v>
      </c>
      <c r="Y289" s="81">
        <v>1.03125</v>
      </c>
      <c r="Z289" s="50">
        <v>3.09375</v>
      </c>
      <c r="AA289" s="50">
        <v>9.5806260000000004E-2</v>
      </c>
      <c r="AB289" s="50">
        <v>0.28741877999999998</v>
      </c>
      <c r="AC289" s="64">
        <v>3.13</v>
      </c>
      <c r="AD289" s="64"/>
      <c r="AE289" s="64"/>
      <c r="AF289" s="64"/>
      <c r="AG289" s="44">
        <v>33.589195724699998</v>
      </c>
      <c r="AH289" s="44">
        <v>15.233195339999998</v>
      </c>
    </row>
    <row r="290" spans="1:34" ht="22.5" customHeight="1">
      <c r="A290" s="89">
        <v>241</v>
      </c>
      <c r="B290" s="105" t="s">
        <v>70</v>
      </c>
      <c r="C290" s="33" t="s">
        <v>65</v>
      </c>
      <c r="D290" s="98">
        <v>4</v>
      </c>
      <c r="E290" s="98"/>
      <c r="F290" s="33" t="s">
        <v>54</v>
      </c>
      <c r="G290" s="33" t="s">
        <v>116</v>
      </c>
      <c r="H290" s="79" t="s">
        <v>56</v>
      </c>
      <c r="I290" s="79" t="s">
        <v>60</v>
      </c>
      <c r="J290" s="39" t="s">
        <v>46</v>
      </c>
      <c r="K290" s="34">
        <v>21.75</v>
      </c>
      <c r="L290" s="38" t="s">
        <v>84</v>
      </c>
      <c r="M290" s="35">
        <v>3</v>
      </c>
      <c r="N290" s="35" t="s">
        <v>84</v>
      </c>
      <c r="O290" s="36">
        <v>0.75</v>
      </c>
      <c r="P290" s="36"/>
      <c r="Q290" s="36"/>
      <c r="R290" s="36">
        <v>3</v>
      </c>
      <c r="S290" s="36"/>
      <c r="T290" s="36"/>
      <c r="U290" s="71">
        <v>3</v>
      </c>
      <c r="V290" s="203"/>
      <c r="W290" s="50">
        <v>0.453125</v>
      </c>
      <c r="X290" s="50">
        <v>1.359375</v>
      </c>
      <c r="Y290" s="81">
        <v>0.453125</v>
      </c>
      <c r="Z290" s="50">
        <v>1.359375</v>
      </c>
      <c r="AA290" s="50">
        <v>4.2096690000000006E-2</v>
      </c>
      <c r="AB290" s="50">
        <v>0.12629007000000003</v>
      </c>
      <c r="AC290" s="64">
        <v>3.13</v>
      </c>
      <c r="AD290" s="64"/>
      <c r="AE290" s="64"/>
      <c r="AF290" s="64"/>
      <c r="AG290" s="44">
        <v>14.758889030550003</v>
      </c>
      <c r="AH290" s="44">
        <v>6.6933737100000013</v>
      </c>
    </row>
    <row r="291" spans="1:34" ht="22.5" customHeight="1">
      <c r="A291" s="89">
        <v>242</v>
      </c>
      <c r="B291" s="105" t="s">
        <v>72</v>
      </c>
      <c r="C291" s="33" t="s">
        <v>43</v>
      </c>
      <c r="D291" s="98">
        <v>8</v>
      </c>
      <c r="E291" s="98"/>
      <c r="F291" s="33" t="s">
        <v>54</v>
      </c>
      <c r="G291" s="33" t="s">
        <v>116</v>
      </c>
      <c r="H291" s="79" t="s">
        <v>61</v>
      </c>
      <c r="I291" s="79" t="s">
        <v>60</v>
      </c>
      <c r="J291" s="39" t="s">
        <v>46</v>
      </c>
      <c r="K291" s="34">
        <v>49.5</v>
      </c>
      <c r="L291" s="38" t="s">
        <v>84</v>
      </c>
      <c r="M291" s="35">
        <v>22.5</v>
      </c>
      <c r="N291" s="35" t="s">
        <v>84</v>
      </c>
      <c r="O291" s="36">
        <v>0.75</v>
      </c>
      <c r="P291" s="36"/>
      <c r="Q291" s="36"/>
      <c r="R291" s="36">
        <v>3</v>
      </c>
      <c r="S291" s="36"/>
      <c r="T291" s="36"/>
      <c r="U291" s="71">
        <v>3</v>
      </c>
      <c r="V291" s="203"/>
      <c r="W291" s="50">
        <v>7.734375</v>
      </c>
      <c r="X291" s="50">
        <v>23.203125</v>
      </c>
      <c r="Y291" s="81">
        <v>7.734375</v>
      </c>
      <c r="Z291" s="50">
        <v>23.203125</v>
      </c>
      <c r="AA291" s="50">
        <v>0.71854695000000002</v>
      </c>
      <c r="AB291" s="50">
        <v>2.1556408500000002</v>
      </c>
      <c r="AC291" s="64">
        <v>3.13</v>
      </c>
      <c r="AD291" s="64"/>
      <c r="AE291" s="64">
        <v>1</v>
      </c>
      <c r="AF291" s="64"/>
      <c r="AG291" s="44">
        <v>251.91896793525004</v>
      </c>
      <c r="AH291" s="44">
        <v>114.24896505000001</v>
      </c>
    </row>
    <row r="292" spans="1:34" ht="22.5" customHeight="1">
      <c r="A292" s="89">
        <v>243</v>
      </c>
      <c r="B292" s="105" t="s">
        <v>72</v>
      </c>
      <c r="C292" s="33" t="s">
        <v>43</v>
      </c>
      <c r="D292" s="98">
        <v>8</v>
      </c>
      <c r="E292" s="98"/>
      <c r="F292" s="33" t="s">
        <v>54</v>
      </c>
      <c r="G292" s="33" t="s">
        <v>116</v>
      </c>
      <c r="H292" s="79" t="s">
        <v>55</v>
      </c>
      <c r="I292" s="79" t="s">
        <v>60</v>
      </c>
      <c r="J292" s="39" t="s">
        <v>46</v>
      </c>
      <c r="K292" s="34">
        <v>49.5</v>
      </c>
      <c r="L292" s="35" t="s">
        <v>84</v>
      </c>
      <c r="M292" s="35">
        <v>3</v>
      </c>
      <c r="N292" s="35" t="s">
        <v>84</v>
      </c>
      <c r="O292" s="36">
        <v>0.75</v>
      </c>
      <c r="P292" s="36"/>
      <c r="Q292" s="36"/>
      <c r="R292" s="36">
        <v>3</v>
      </c>
      <c r="S292" s="36"/>
      <c r="T292" s="36"/>
      <c r="U292" s="71">
        <v>3</v>
      </c>
      <c r="V292" s="203"/>
      <c r="W292" s="50">
        <v>1.03125</v>
      </c>
      <c r="X292" s="50">
        <v>3.09375</v>
      </c>
      <c r="Y292" s="81">
        <v>1.03125</v>
      </c>
      <c r="Z292" s="50">
        <v>3.09375</v>
      </c>
      <c r="AA292" s="50">
        <v>9.5806260000000004E-2</v>
      </c>
      <c r="AB292" s="50">
        <v>0.28741877999999998</v>
      </c>
      <c r="AC292" s="64">
        <v>3.13</v>
      </c>
      <c r="AD292" s="64"/>
      <c r="AE292" s="64"/>
      <c r="AF292" s="64"/>
      <c r="AG292" s="44">
        <v>33.589195724699998</v>
      </c>
      <c r="AH292" s="44">
        <v>15.233195339999998</v>
      </c>
    </row>
    <row r="293" spans="1:34" ht="22.5" customHeight="1">
      <c r="A293" s="89">
        <v>244</v>
      </c>
      <c r="B293" s="104" t="s">
        <v>72</v>
      </c>
      <c r="C293" s="33" t="s">
        <v>43</v>
      </c>
      <c r="D293" s="98">
        <v>8</v>
      </c>
      <c r="E293" s="98"/>
      <c r="F293" s="33" t="s">
        <v>54</v>
      </c>
      <c r="G293" s="33" t="s">
        <v>116</v>
      </c>
      <c r="H293" s="79" t="s">
        <v>56</v>
      </c>
      <c r="I293" s="79" t="s">
        <v>60</v>
      </c>
      <c r="J293" s="39" t="s">
        <v>46</v>
      </c>
      <c r="K293" s="38">
        <v>21.75</v>
      </c>
      <c r="L293" s="80" t="s">
        <v>84</v>
      </c>
      <c r="M293" s="38">
        <v>3</v>
      </c>
      <c r="N293" s="35" t="s">
        <v>84</v>
      </c>
      <c r="O293" s="36">
        <v>0.75</v>
      </c>
      <c r="P293" s="36"/>
      <c r="Q293" s="36"/>
      <c r="R293" s="36">
        <v>3</v>
      </c>
      <c r="S293" s="36"/>
      <c r="T293" s="36"/>
      <c r="U293" s="71">
        <v>3</v>
      </c>
      <c r="V293" s="203"/>
      <c r="W293" s="50">
        <v>0.453125</v>
      </c>
      <c r="X293" s="50">
        <v>1.359375</v>
      </c>
      <c r="Y293" s="81">
        <v>0.453125</v>
      </c>
      <c r="Z293" s="50">
        <v>1.359375</v>
      </c>
      <c r="AA293" s="50">
        <v>4.2096690000000006E-2</v>
      </c>
      <c r="AB293" s="50">
        <v>0.12629007000000003</v>
      </c>
      <c r="AC293" s="64">
        <v>3.13</v>
      </c>
      <c r="AD293" s="64"/>
      <c r="AE293" s="64"/>
      <c r="AF293" s="64"/>
      <c r="AG293" s="44">
        <v>14.758889030550003</v>
      </c>
      <c r="AH293" s="44">
        <v>6.6933737100000013</v>
      </c>
    </row>
    <row r="294" spans="1:34" ht="22.5" customHeight="1">
      <c r="A294" s="89">
        <v>245</v>
      </c>
      <c r="B294" s="105" t="s">
        <v>72</v>
      </c>
      <c r="C294" s="33" t="s">
        <v>43</v>
      </c>
      <c r="D294" s="98">
        <v>9</v>
      </c>
      <c r="E294" s="98"/>
      <c r="F294" s="33" t="s">
        <v>54</v>
      </c>
      <c r="G294" s="33" t="s">
        <v>116</v>
      </c>
      <c r="H294" s="79" t="s">
        <v>77</v>
      </c>
      <c r="I294" s="79" t="s">
        <v>77</v>
      </c>
      <c r="J294" s="39" t="s">
        <v>46</v>
      </c>
      <c r="K294" s="34">
        <v>43.75</v>
      </c>
      <c r="L294" s="35" t="s">
        <v>84</v>
      </c>
      <c r="M294" s="35">
        <v>25.5</v>
      </c>
      <c r="N294" s="35" t="s">
        <v>84</v>
      </c>
      <c r="O294" s="36">
        <v>0.75</v>
      </c>
      <c r="P294" s="36"/>
      <c r="Q294" s="36"/>
      <c r="R294" s="36">
        <v>3</v>
      </c>
      <c r="S294" s="36"/>
      <c r="T294" s="36"/>
      <c r="U294" s="71">
        <v>3</v>
      </c>
      <c r="V294" s="203"/>
      <c r="W294" s="50">
        <v>7.747395833333333</v>
      </c>
      <c r="X294" s="50">
        <v>23.2421875</v>
      </c>
      <c r="Y294" s="81">
        <v>7.747395833333333</v>
      </c>
      <c r="Z294" s="50">
        <v>23.2421875</v>
      </c>
      <c r="AA294" s="50">
        <v>0.71975662500000004</v>
      </c>
      <c r="AB294" s="50">
        <v>2.1592698750000001</v>
      </c>
      <c r="AC294" s="64">
        <v>3.13</v>
      </c>
      <c r="AD294" s="64"/>
      <c r="AE294" s="64"/>
      <c r="AF294" s="64"/>
      <c r="AG294" s="44">
        <v>252.34307394187505</v>
      </c>
      <c r="AH294" s="44">
        <v>114.44130337500002</v>
      </c>
    </row>
    <row r="295" spans="1:34" ht="22.5" customHeight="1">
      <c r="A295" s="89">
        <v>246</v>
      </c>
      <c r="B295" s="105" t="s">
        <v>72</v>
      </c>
      <c r="C295" s="33" t="s">
        <v>65</v>
      </c>
      <c r="D295" s="98">
        <v>11</v>
      </c>
      <c r="E295" s="98"/>
      <c r="F295" s="33" t="s">
        <v>54</v>
      </c>
      <c r="G295" s="33" t="s">
        <v>116</v>
      </c>
      <c r="H295" s="79" t="s">
        <v>61</v>
      </c>
      <c r="I295" s="79" t="s">
        <v>60</v>
      </c>
      <c r="J295" s="39" t="s">
        <v>46</v>
      </c>
      <c r="K295" s="34">
        <v>49.5</v>
      </c>
      <c r="L295" s="38" t="s">
        <v>84</v>
      </c>
      <c r="M295" s="35">
        <v>22.5</v>
      </c>
      <c r="N295" s="35" t="s">
        <v>84</v>
      </c>
      <c r="O295" s="36">
        <v>0.75</v>
      </c>
      <c r="P295" s="36"/>
      <c r="Q295" s="36"/>
      <c r="R295" s="36">
        <v>3</v>
      </c>
      <c r="S295" s="36"/>
      <c r="T295" s="36"/>
      <c r="U295" s="71">
        <v>3</v>
      </c>
      <c r="V295" s="203"/>
      <c r="W295" s="50">
        <v>7.734375</v>
      </c>
      <c r="X295" s="50">
        <v>23.203125</v>
      </c>
      <c r="Y295" s="81">
        <v>7.734375</v>
      </c>
      <c r="Z295" s="50">
        <v>23.203125</v>
      </c>
      <c r="AA295" s="50">
        <v>0.71854695000000002</v>
      </c>
      <c r="AB295" s="50">
        <v>2.1556408500000002</v>
      </c>
      <c r="AC295" s="64">
        <v>3.13</v>
      </c>
      <c r="AD295" s="64"/>
      <c r="AE295" s="64">
        <v>1</v>
      </c>
      <c r="AF295" s="64"/>
      <c r="AG295" s="44">
        <v>251.91896793525004</v>
      </c>
      <c r="AH295" s="44">
        <v>114.24896505000001</v>
      </c>
    </row>
    <row r="296" spans="1:34" ht="22.5" customHeight="1">
      <c r="A296" s="89">
        <v>247</v>
      </c>
      <c r="B296" s="105" t="s">
        <v>72</v>
      </c>
      <c r="C296" s="33" t="s">
        <v>65</v>
      </c>
      <c r="D296" s="98">
        <v>11</v>
      </c>
      <c r="E296" s="98"/>
      <c r="F296" s="33" t="s">
        <v>54</v>
      </c>
      <c r="G296" s="33" t="s">
        <v>116</v>
      </c>
      <c r="H296" s="79" t="s">
        <v>55</v>
      </c>
      <c r="I296" s="79" t="s">
        <v>60</v>
      </c>
      <c r="J296" s="39" t="s">
        <v>46</v>
      </c>
      <c r="K296" s="34">
        <v>49.5</v>
      </c>
      <c r="L296" s="38" t="s">
        <v>84</v>
      </c>
      <c r="M296" s="35">
        <v>3</v>
      </c>
      <c r="N296" s="35" t="s">
        <v>84</v>
      </c>
      <c r="O296" s="36">
        <v>0.75</v>
      </c>
      <c r="P296" s="36"/>
      <c r="Q296" s="36"/>
      <c r="R296" s="36">
        <v>3</v>
      </c>
      <c r="S296" s="36"/>
      <c r="T296" s="36"/>
      <c r="U296" s="71">
        <v>3</v>
      </c>
      <c r="V296" s="203"/>
      <c r="W296" s="50">
        <v>1.03125</v>
      </c>
      <c r="X296" s="50">
        <v>3.09375</v>
      </c>
      <c r="Y296" s="81">
        <v>1.03125</v>
      </c>
      <c r="Z296" s="50">
        <v>3.09375</v>
      </c>
      <c r="AA296" s="50">
        <v>9.5806260000000004E-2</v>
      </c>
      <c r="AB296" s="50">
        <v>0.28741877999999998</v>
      </c>
      <c r="AC296" s="64">
        <v>3.13</v>
      </c>
      <c r="AD296" s="64"/>
      <c r="AE296" s="64"/>
      <c r="AF296" s="64"/>
      <c r="AG296" s="44">
        <v>33.589195724699998</v>
      </c>
      <c r="AH296" s="44">
        <v>15.233195339999998</v>
      </c>
    </row>
    <row r="297" spans="1:34" ht="22.5" customHeight="1">
      <c r="A297" s="89">
        <v>248</v>
      </c>
      <c r="B297" s="105" t="s">
        <v>72</v>
      </c>
      <c r="C297" s="33" t="s">
        <v>65</v>
      </c>
      <c r="D297" s="98">
        <v>11</v>
      </c>
      <c r="E297" s="98"/>
      <c r="F297" s="33" t="s">
        <v>54</v>
      </c>
      <c r="G297" s="33" t="s">
        <v>116</v>
      </c>
      <c r="H297" s="79" t="s">
        <v>56</v>
      </c>
      <c r="I297" s="79" t="s">
        <v>60</v>
      </c>
      <c r="J297" s="39" t="s">
        <v>46</v>
      </c>
      <c r="K297" s="34">
        <v>21.75</v>
      </c>
      <c r="L297" s="35" t="s">
        <v>84</v>
      </c>
      <c r="M297" s="35">
        <v>3</v>
      </c>
      <c r="N297" s="35" t="s">
        <v>84</v>
      </c>
      <c r="O297" s="36">
        <v>0.75</v>
      </c>
      <c r="P297" s="36"/>
      <c r="Q297" s="36"/>
      <c r="R297" s="36">
        <v>3</v>
      </c>
      <c r="S297" s="36"/>
      <c r="T297" s="36"/>
      <c r="U297" s="71">
        <v>3</v>
      </c>
      <c r="V297" s="203"/>
      <c r="W297" s="50">
        <v>0.453125</v>
      </c>
      <c r="X297" s="50">
        <v>1.359375</v>
      </c>
      <c r="Y297" s="81">
        <v>0.453125</v>
      </c>
      <c r="Z297" s="50">
        <v>1.359375</v>
      </c>
      <c r="AA297" s="50">
        <v>4.2096690000000006E-2</v>
      </c>
      <c r="AB297" s="50">
        <v>0.12629007000000003</v>
      </c>
      <c r="AC297" s="64">
        <v>3.13</v>
      </c>
      <c r="AD297" s="64"/>
      <c r="AE297" s="64"/>
      <c r="AF297" s="64"/>
      <c r="AG297" s="44">
        <v>14.758889030550003</v>
      </c>
      <c r="AH297" s="44">
        <v>6.6933737100000013</v>
      </c>
    </row>
    <row r="298" spans="1:34" ht="22.5" customHeight="1">
      <c r="A298" s="89">
        <v>249</v>
      </c>
      <c r="B298" s="105" t="s">
        <v>72</v>
      </c>
      <c r="C298" s="33" t="s">
        <v>65</v>
      </c>
      <c r="D298" s="98">
        <v>12</v>
      </c>
      <c r="E298" s="98"/>
      <c r="F298" s="33" t="s">
        <v>54</v>
      </c>
      <c r="G298" s="33" t="s">
        <v>116</v>
      </c>
      <c r="H298" s="79" t="s">
        <v>77</v>
      </c>
      <c r="I298" s="79" t="s">
        <v>77</v>
      </c>
      <c r="J298" s="39" t="s">
        <v>46</v>
      </c>
      <c r="K298" s="34">
        <v>43.75</v>
      </c>
      <c r="L298" s="35" t="s">
        <v>84</v>
      </c>
      <c r="M298" s="35">
        <v>25.5</v>
      </c>
      <c r="N298" s="35" t="s">
        <v>84</v>
      </c>
      <c r="O298" s="36">
        <v>0.75</v>
      </c>
      <c r="P298" s="36"/>
      <c r="Q298" s="36"/>
      <c r="R298" s="36">
        <v>3</v>
      </c>
      <c r="S298" s="36"/>
      <c r="T298" s="36"/>
      <c r="U298" s="71">
        <v>3</v>
      </c>
      <c r="V298" s="204"/>
      <c r="W298" s="50">
        <v>7.747395833333333</v>
      </c>
      <c r="X298" s="50">
        <v>23.2421875</v>
      </c>
      <c r="Y298" s="81">
        <v>7.747395833333333</v>
      </c>
      <c r="Z298" s="50">
        <v>23.2421875</v>
      </c>
      <c r="AA298" s="50">
        <v>0.71975662500000004</v>
      </c>
      <c r="AB298" s="50">
        <v>2.1592698750000001</v>
      </c>
      <c r="AC298" s="64">
        <v>3.13</v>
      </c>
      <c r="AD298" s="64"/>
      <c r="AE298" s="64"/>
      <c r="AF298" s="64"/>
      <c r="AG298" s="44">
        <v>252.34307394187505</v>
      </c>
      <c r="AH298" s="44">
        <v>114.44130337500002</v>
      </c>
    </row>
    <row r="299" spans="1:34" ht="22.5" customHeight="1">
      <c r="A299" s="89"/>
      <c r="B299" s="105"/>
      <c r="C299" s="33"/>
      <c r="D299" s="98"/>
      <c r="E299" s="98"/>
      <c r="F299" s="33"/>
      <c r="G299" s="33"/>
      <c r="H299" s="79"/>
      <c r="I299" s="79"/>
      <c r="J299" s="39"/>
      <c r="K299" s="34"/>
      <c r="L299" s="38"/>
      <c r="M299" s="35"/>
      <c r="N299" s="35"/>
      <c r="O299" s="36"/>
      <c r="P299" s="36"/>
      <c r="Q299" s="36"/>
      <c r="R299" s="36"/>
      <c r="S299" s="36"/>
      <c r="T299" s="36"/>
      <c r="U299" s="120">
        <f>SUBTOTAL(9,U285:U298)</f>
        <v>39</v>
      </c>
      <c r="V299" s="139"/>
      <c r="W299" s="129"/>
      <c r="X299" s="129"/>
      <c r="Y299" s="132"/>
      <c r="Z299" s="129"/>
      <c r="AA299" s="129"/>
      <c r="AB299" s="129"/>
      <c r="AC299" s="77"/>
      <c r="AD299" s="64"/>
      <c r="AE299" s="64"/>
      <c r="AF299" s="64"/>
      <c r="AG299" s="131">
        <f>SUBTOTAL(9,AG285:AG298)</f>
        <v>1605.6653410822501</v>
      </c>
      <c r="AH299" s="131">
        <f>SUBTOTAL(9,AH285:AH298)</f>
        <v>728.19289845000003</v>
      </c>
    </row>
    <row r="300" spans="1:34" ht="22.5" customHeight="1">
      <c r="A300" s="89">
        <v>250</v>
      </c>
      <c r="B300" s="105" t="s">
        <v>73</v>
      </c>
      <c r="C300" s="33" t="s">
        <v>43</v>
      </c>
      <c r="D300" s="98">
        <v>14</v>
      </c>
      <c r="E300" s="98"/>
      <c r="F300" s="33" t="s">
        <v>54</v>
      </c>
      <c r="G300" s="33" t="s">
        <v>116</v>
      </c>
      <c r="H300" s="103" t="s">
        <v>61</v>
      </c>
      <c r="I300" s="79" t="s">
        <v>60</v>
      </c>
      <c r="J300" s="39" t="s">
        <v>46</v>
      </c>
      <c r="K300" s="34">
        <v>79.5</v>
      </c>
      <c r="L300" s="38" t="s">
        <v>84</v>
      </c>
      <c r="M300" s="35">
        <v>22.5</v>
      </c>
      <c r="N300" s="35" t="s">
        <v>84</v>
      </c>
      <c r="O300" s="36">
        <v>0.75</v>
      </c>
      <c r="P300" s="36"/>
      <c r="Q300" s="36"/>
      <c r="R300" s="36">
        <v>1</v>
      </c>
      <c r="S300" s="36"/>
      <c r="T300" s="36"/>
      <c r="U300" s="71">
        <v>1</v>
      </c>
      <c r="V300" s="202">
        <v>32</v>
      </c>
      <c r="W300" s="50">
        <v>12.421875</v>
      </c>
      <c r="X300" s="50">
        <v>12.421875</v>
      </c>
      <c r="Y300" s="81">
        <v>12.421875</v>
      </c>
      <c r="Z300" s="50">
        <v>12.421875</v>
      </c>
      <c r="AA300" s="50">
        <v>1.15402995</v>
      </c>
      <c r="AB300" s="50">
        <v>1.15402995</v>
      </c>
      <c r="AC300" s="64">
        <v>3.13</v>
      </c>
      <c r="AD300" s="64">
        <v>3</v>
      </c>
      <c r="AE300" s="64">
        <v>2</v>
      </c>
      <c r="AF300" s="64">
        <v>10</v>
      </c>
      <c r="AG300" s="44">
        <v>134.86571010675002</v>
      </c>
      <c r="AH300" s="44">
        <v>61.16358735</v>
      </c>
    </row>
    <row r="301" spans="1:34" ht="22.5" customHeight="1">
      <c r="A301" s="89">
        <v>251</v>
      </c>
      <c r="B301" s="105" t="s">
        <v>73</v>
      </c>
      <c r="C301" s="33" t="s">
        <v>43</v>
      </c>
      <c r="D301" s="98">
        <v>14</v>
      </c>
      <c r="E301" s="98"/>
      <c r="F301" s="33" t="s">
        <v>54</v>
      </c>
      <c r="G301" s="33" t="s">
        <v>116</v>
      </c>
      <c r="H301" s="79" t="s">
        <v>55</v>
      </c>
      <c r="I301" s="79" t="s">
        <v>60</v>
      </c>
      <c r="J301" s="39" t="s">
        <v>46</v>
      </c>
      <c r="K301" s="34">
        <v>79.5</v>
      </c>
      <c r="L301" s="38" t="s">
        <v>84</v>
      </c>
      <c r="M301" s="35">
        <v>3</v>
      </c>
      <c r="N301" s="35" t="s">
        <v>84</v>
      </c>
      <c r="O301" s="36">
        <v>0.75</v>
      </c>
      <c r="P301" s="36"/>
      <c r="Q301" s="36"/>
      <c r="R301" s="36">
        <v>1</v>
      </c>
      <c r="S301" s="36"/>
      <c r="T301" s="36"/>
      <c r="U301" s="71">
        <v>1</v>
      </c>
      <c r="V301" s="203"/>
      <c r="W301" s="50">
        <v>1.65625</v>
      </c>
      <c r="X301" s="50">
        <v>1.65625</v>
      </c>
      <c r="Y301" s="81">
        <v>1.65625</v>
      </c>
      <c r="Z301" s="50">
        <v>1.65625</v>
      </c>
      <c r="AA301" s="50">
        <v>0.15387066000000002</v>
      </c>
      <c r="AB301" s="50">
        <v>0.15387066000000002</v>
      </c>
      <c r="AC301" s="64">
        <v>3.13</v>
      </c>
      <c r="AD301" s="64"/>
      <c r="AE301" s="64"/>
      <c r="AF301" s="64"/>
      <c r="AG301" s="44">
        <v>17.982094680900001</v>
      </c>
      <c r="AH301" s="44">
        <v>8.1551449800000011</v>
      </c>
    </row>
    <row r="302" spans="1:34" ht="22.5" customHeight="1">
      <c r="A302" s="89">
        <v>252</v>
      </c>
      <c r="B302" s="105" t="s">
        <v>73</v>
      </c>
      <c r="C302" s="33" t="s">
        <v>43</v>
      </c>
      <c r="D302" s="98">
        <v>14</v>
      </c>
      <c r="E302" s="98"/>
      <c r="F302" s="33" t="s">
        <v>54</v>
      </c>
      <c r="G302" s="33" t="s">
        <v>116</v>
      </c>
      <c r="H302" s="79" t="s">
        <v>56</v>
      </c>
      <c r="I302" s="79" t="s">
        <v>60</v>
      </c>
      <c r="J302" s="39" t="s">
        <v>46</v>
      </c>
      <c r="K302" s="34">
        <v>21.75</v>
      </c>
      <c r="L302" s="35" t="s">
        <v>84</v>
      </c>
      <c r="M302" s="35">
        <v>3</v>
      </c>
      <c r="N302" s="35" t="s">
        <v>84</v>
      </c>
      <c r="O302" s="36">
        <v>0.75</v>
      </c>
      <c r="P302" s="36"/>
      <c r="Q302" s="36"/>
      <c r="R302" s="36">
        <v>1</v>
      </c>
      <c r="S302" s="36"/>
      <c r="T302" s="36"/>
      <c r="U302" s="71">
        <v>1</v>
      </c>
      <c r="V302" s="203"/>
      <c r="W302" s="50">
        <v>0.453125</v>
      </c>
      <c r="X302" s="50">
        <v>0.453125</v>
      </c>
      <c r="Y302" s="81">
        <v>0.453125</v>
      </c>
      <c r="Z302" s="50">
        <v>0.453125</v>
      </c>
      <c r="AA302" s="50">
        <v>4.2096690000000006E-2</v>
      </c>
      <c r="AB302" s="50">
        <v>4.2096690000000006E-2</v>
      </c>
      <c r="AC302" s="64">
        <v>3.13</v>
      </c>
      <c r="AD302" s="64"/>
      <c r="AE302" s="64"/>
      <c r="AF302" s="64"/>
      <c r="AG302" s="44">
        <v>4.9196296768500005</v>
      </c>
      <c r="AH302" s="44">
        <v>2.23112457</v>
      </c>
    </row>
    <row r="303" spans="1:34" ht="22.5" customHeight="1">
      <c r="A303" s="89">
        <v>253</v>
      </c>
      <c r="B303" s="104" t="s">
        <v>73</v>
      </c>
      <c r="C303" s="33" t="s">
        <v>43</v>
      </c>
      <c r="D303" s="98">
        <v>15</v>
      </c>
      <c r="E303" s="98"/>
      <c r="F303" s="33" t="s">
        <v>54</v>
      </c>
      <c r="G303" s="33" t="s">
        <v>116</v>
      </c>
      <c r="H303" s="79" t="s">
        <v>78</v>
      </c>
      <c r="I303" s="79" t="s">
        <v>78</v>
      </c>
      <c r="J303" s="39" t="s">
        <v>46</v>
      </c>
      <c r="K303" s="38">
        <v>41.5</v>
      </c>
      <c r="L303" s="80" t="s">
        <v>84</v>
      </c>
      <c r="M303" s="38">
        <v>8.75</v>
      </c>
      <c r="N303" s="35" t="s">
        <v>84</v>
      </c>
      <c r="O303" s="36">
        <v>0.75</v>
      </c>
      <c r="P303" s="36"/>
      <c r="Q303" s="36"/>
      <c r="R303" s="36">
        <v>1</v>
      </c>
      <c r="S303" s="36"/>
      <c r="T303" s="36"/>
      <c r="U303" s="71">
        <v>1</v>
      </c>
      <c r="V303" s="203"/>
      <c r="W303" s="50">
        <v>2.5217013888888888</v>
      </c>
      <c r="X303" s="50">
        <v>2.5217013888888888</v>
      </c>
      <c r="Y303" s="81">
        <v>2.5217013888888888</v>
      </c>
      <c r="Z303" s="50">
        <v>2.5217013888888888</v>
      </c>
      <c r="AA303" s="50">
        <v>0.23427372500000002</v>
      </c>
      <c r="AB303" s="50">
        <v>0.23427372500000002</v>
      </c>
      <c r="AC303" s="64">
        <v>3.13</v>
      </c>
      <c r="AD303" s="64"/>
      <c r="AE303" s="64"/>
      <c r="AF303" s="64"/>
      <c r="AG303" s="44">
        <v>27.378398872125004</v>
      </c>
      <c r="AH303" s="44">
        <v>12.416507425000001</v>
      </c>
    </row>
    <row r="304" spans="1:34" ht="22.5" customHeight="1">
      <c r="A304" s="89">
        <v>254</v>
      </c>
      <c r="B304" s="105" t="s">
        <v>73</v>
      </c>
      <c r="C304" s="33" t="s">
        <v>65</v>
      </c>
      <c r="D304" s="98">
        <v>17</v>
      </c>
      <c r="E304" s="98"/>
      <c r="F304" s="33" t="s">
        <v>54</v>
      </c>
      <c r="G304" s="33" t="s">
        <v>116</v>
      </c>
      <c r="H304" s="103" t="s">
        <v>61</v>
      </c>
      <c r="I304" s="79" t="s">
        <v>60</v>
      </c>
      <c r="J304" s="39" t="s">
        <v>46</v>
      </c>
      <c r="K304" s="34">
        <v>79.5</v>
      </c>
      <c r="L304" s="35" t="s">
        <v>84</v>
      </c>
      <c r="M304" s="35">
        <v>22.5</v>
      </c>
      <c r="N304" s="35" t="s">
        <v>84</v>
      </c>
      <c r="O304" s="36">
        <v>0.75</v>
      </c>
      <c r="P304" s="36"/>
      <c r="Q304" s="36"/>
      <c r="R304" s="36">
        <v>4</v>
      </c>
      <c r="S304" s="36"/>
      <c r="T304" s="36"/>
      <c r="U304" s="71">
        <v>4</v>
      </c>
      <c r="V304" s="203"/>
      <c r="W304" s="50">
        <v>12.421875</v>
      </c>
      <c r="X304" s="50">
        <v>49.6875</v>
      </c>
      <c r="Y304" s="81">
        <v>12.421875</v>
      </c>
      <c r="Z304" s="50">
        <v>49.6875</v>
      </c>
      <c r="AA304" s="50">
        <v>1.15402995</v>
      </c>
      <c r="AB304" s="50">
        <v>4.6161197999999999</v>
      </c>
      <c r="AC304" s="64">
        <v>3.13</v>
      </c>
      <c r="AD304" s="64">
        <v>3</v>
      </c>
      <c r="AE304" s="64">
        <v>2</v>
      </c>
      <c r="AF304" s="64">
        <v>10</v>
      </c>
      <c r="AG304" s="44">
        <v>539.46284042700006</v>
      </c>
      <c r="AH304" s="44">
        <v>244.6543494</v>
      </c>
    </row>
    <row r="305" spans="1:34" ht="22.5" customHeight="1">
      <c r="A305" s="89">
        <v>255</v>
      </c>
      <c r="B305" s="105" t="s">
        <v>73</v>
      </c>
      <c r="C305" s="33" t="s">
        <v>65</v>
      </c>
      <c r="D305" s="98">
        <v>17</v>
      </c>
      <c r="E305" s="98"/>
      <c r="F305" s="33" t="s">
        <v>54</v>
      </c>
      <c r="G305" s="33" t="s">
        <v>116</v>
      </c>
      <c r="H305" s="79" t="s">
        <v>55</v>
      </c>
      <c r="I305" s="79" t="s">
        <v>60</v>
      </c>
      <c r="J305" s="39" t="s">
        <v>46</v>
      </c>
      <c r="K305" s="34">
        <v>79.5</v>
      </c>
      <c r="L305" s="38" t="s">
        <v>84</v>
      </c>
      <c r="M305" s="35">
        <v>3</v>
      </c>
      <c r="N305" s="35" t="s">
        <v>84</v>
      </c>
      <c r="O305" s="36">
        <v>0.75</v>
      </c>
      <c r="P305" s="36"/>
      <c r="Q305" s="36"/>
      <c r="R305" s="36">
        <v>4</v>
      </c>
      <c r="S305" s="36"/>
      <c r="T305" s="36"/>
      <c r="U305" s="71">
        <v>4</v>
      </c>
      <c r="V305" s="203"/>
      <c r="W305" s="50">
        <v>1.65625</v>
      </c>
      <c r="X305" s="50">
        <v>6.625</v>
      </c>
      <c r="Y305" s="81">
        <v>1.65625</v>
      </c>
      <c r="Z305" s="50">
        <v>6.625</v>
      </c>
      <c r="AA305" s="50">
        <v>0.15387066000000002</v>
      </c>
      <c r="AB305" s="50">
        <v>0.61548264000000008</v>
      </c>
      <c r="AC305" s="64">
        <v>3.13</v>
      </c>
      <c r="AD305" s="64"/>
      <c r="AE305" s="64"/>
      <c r="AF305" s="64"/>
      <c r="AG305" s="44">
        <v>71.928378723600005</v>
      </c>
      <c r="AH305" s="44">
        <v>32.620579920000004</v>
      </c>
    </row>
    <row r="306" spans="1:34" ht="22.5" customHeight="1">
      <c r="A306" s="89">
        <v>256</v>
      </c>
      <c r="B306" s="105" t="s">
        <v>73</v>
      </c>
      <c r="C306" s="33" t="s">
        <v>65</v>
      </c>
      <c r="D306" s="98">
        <v>17</v>
      </c>
      <c r="E306" s="98"/>
      <c r="F306" s="33" t="s">
        <v>54</v>
      </c>
      <c r="G306" s="33" t="s">
        <v>116</v>
      </c>
      <c r="H306" s="79" t="s">
        <v>56</v>
      </c>
      <c r="I306" s="79" t="s">
        <v>60</v>
      </c>
      <c r="J306" s="39" t="s">
        <v>46</v>
      </c>
      <c r="K306" s="34">
        <v>21.75</v>
      </c>
      <c r="L306" s="38" t="s">
        <v>84</v>
      </c>
      <c r="M306" s="35">
        <v>3</v>
      </c>
      <c r="N306" s="35" t="s">
        <v>84</v>
      </c>
      <c r="O306" s="36">
        <v>0.75</v>
      </c>
      <c r="P306" s="36"/>
      <c r="Q306" s="36"/>
      <c r="R306" s="36">
        <v>4</v>
      </c>
      <c r="S306" s="36"/>
      <c r="T306" s="36"/>
      <c r="U306" s="71">
        <v>4</v>
      </c>
      <c r="V306" s="203"/>
      <c r="W306" s="50">
        <v>0.453125</v>
      </c>
      <c r="X306" s="50">
        <v>1.8125</v>
      </c>
      <c r="Y306" s="81">
        <v>0.453125</v>
      </c>
      <c r="Z306" s="50">
        <v>1.8125</v>
      </c>
      <c r="AA306" s="50">
        <v>4.2096690000000006E-2</v>
      </c>
      <c r="AB306" s="50">
        <v>0.16838676000000002</v>
      </c>
      <c r="AC306" s="64">
        <v>3.13</v>
      </c>
      <c r="AD306" s="64"/>
      <c r="AE306" s="64"/>
      <c r="AF306" s="64"/>
      <c r="AG306" s="44">
        <v>19.678518707400002</v>
      </c>
      <c r="AH306" s="44">
        <v>8.9244982799999999</v>
      </c>
    </row>
    <row r="307" spans="1:34" ht="22.5" customHeight="1">
      <c r="A307" s="89">
        <v>257</v>
      </c>
      <c r="B307" s="105" t="s">
        <v>73</v>
      </c>
      <c r="C307" s="33" t="s">
        <v>65</v>
      </c>
      <c r="D307" s="98">
        <v>18</v>
      </c>
      <c r="E307" s="98"/>
      <c r="F307" s="33" t="s">
        <v>54</v>
      </c>
      <c r="G307" s="33" t="s">
        <v>116</v>
      </c>
      <c r="H307" s="79" t="s">
        <v>78</v>
      </c>
      <c r="I307" s="79" t="s">
        <v>78</v>
      </c>
      <c r="J307" s="39" t="s">
        <v>46</v>
      </c>
      <c r="K307" s="34">
        <v>41.5</v>
      </c>
      <c r="L307" s="35" t="s">
        <v>84</v>
      </c>
      <c r="M307" s="35">
        <v>8.75</v>
      </c>
      <c r="N307" s="35" t="s">
        <v>84</v>
      </c>
      <c r="O307" s="36">
        <v>0.75</v>
      </c>
      <c r="P307" s="36"/>
      <c r="Q307" s="36"/>
      <c r="R307" s="36">
        <v>4</v>
      </c>
      <c r="S307" s="36"/>
      <c r="T307" s="36"/>
      <c r="U307" s="71">
        <v>4</v>
      </c>
      <c r="V307" s="203"/>
      <c r="W307" s="50">
        <v>2.5217013888888888</v>
      </c>
      <c r="X307" s="50">
        <v>10.086805555555555</v>
      </c>
      <c r="Y307" s="81">
        <v>2.5217013888888888</v>
      </c>
      <c r="Z307" s="50">
        <v>10.086805555555555</v>
      </c>
      <c r="AA307" s="50">
        <v>0.23427372500000002</v>
      </c>
      <c r="AB307" s="50">
        <v>0.93709490000000006</v>
      </c>
      <c r="AC307" s="64">
        <v>3.13</v>
      </c>
      <c r="AD307" s="64"/>
      <c r="AE307" s="64"/>
      <c r="AF307" s="64"/>
      <c r="AG307" s="44">
        <v>109.51359548850002</v>
      </c>
      <c r="AH307" s="44">
        <v>49.666029700000003</v>
      </c>
    </row>
    <row r="308" spans="1:34" ht="22.5" customHeight="1">
      <c r="A308" s="89">
        <v>258</v>
      </c>
      <c r="B308" s="105" t="s">
        <v>74</v>
      </c>
      <c r="C308" s="33" t="s">
        <v>65</v>
      </c>
      <c r="D308" s="98">
        <v>23</v>
      </c>
      <c r="E308" s="98"/>
      <c r="F308" s="33" t="s">
        <v>54</v>
      </c>
      <c r="G308" s="33" t="s">
        <v>116</v>
      </c>
      <c r="H308" s="103" t="s">
        <v>61</v>
      </c>
      <c r="I308" s="79" t="s">
        <v>60</v>
      </c>
      <c r="J308" s="39" t="s">
        <v>46</v>
      </c>
      <c r="K308" s="34">
        <v>73.5</v>
      </c>
      <c r="L308" s="35" t="s">
        <v>84</v>
      </c>
      <c r="M308" s="35">
        <v>22.5</v>
      </c>
      <c r="N308" s="35" t="s">
        <v>84</v>
      </c>
      <c r="O308" s="36">
        <v>0.75</v>
      </c>
      <c r="P308" s="36"/>
      <c r="Q308" s="36"/>
      <c r="R308" s="36">
        <v>1</v>
      </c>
      <c r="S308" s="36"/>
      <c r="T308" s="36"/>
      <c r="U308" s="71">
        <v>1</v>
      </c>
      <c r="V308" s="203"/>
      <c r="W308" s="50">
        <v>11.484375</v>
      </c>
      <c r="X308" s="50">
        <v>11.484375</v>
      </c>
      <c r="Y308" s="81">
        <v>11.484375</v>
      </c>
      <c r="Z308" s="50">
        <v>11.484375</v>
      </c>
      <c r="AA308" s="50">
        <v>1.06693335</v>
      </c>
      <c r="AB308" s="50">
        <v>1.06693335</v>
      </c>
      <c r="AC308" s="64">
        <v>3.13</v>
      </c>
      <c r="AD308" s="64">
        <v>3</v>
      </c>
      <c r="AE308" s="64">
        <v>2</v>
      </c>
      <c r="AF308" s="64">
        <v>10</v>
      </c>
      <c r="AG308" s="44">
        <v>124.68716594775</v>
      </c>
      <c r="AH308" s="44">
        <v>56.54746755</v>
      </c>
    </row>
    <row r="309" spans="1:34" ht="22.5" customHeight="1">
      <c r="A309" s="89">
        <v>259</v>
      </c>
      <c r="B309" s="105" t="s">
        <v>74</v>
      </c>
      <c r="C309" s="33" t="s">
        <v>65</v>
      </c>
      <c r="D309" s="98">
        <v>23</v>
      </c>
      <c r="E309" s="98"/>
      <c r="F309" s="33" t="s">
        <v>54</v>
      </c>
      <c r="G309" s="33" t="s">
        <v>116</v>
      </c>
      <c r="H309" s="79" t="s">
        <v>55</v>
      </c>
      <c r="I309" s="79" t="s">
        <v>60</v>
      </c>
      <c r="J309" s="39" t="s">
        <v>46</v>
      </c>
      <c r="K309" s="34">
        <v>73.5</v>
      </c>
      <c r="L309" s="38" t="s">
        <v>84</v>
      </c>
      <c r="M309" s="35">
        <v>3</v>
      </c>
      <c r="N309" s="35" t="s">
        <v>84</v>
      </c>
      <c r="O309" s="36">
        <v>0.75</v>
      </c>
      <c r="P309" s="36"/>
      <c r="Q309" s="36"/>
      <c r="R309" s="36">
        <v>1</v>
      </c>
      <c r="S309" s="36"/>
      <c r="T309" s="36"/>
      <c r="U309" s="71">
        <v>1</v>
      </c>
      <c r="V309" s="203"/>
      <c r="W309" s="50">
        <v>1.53125</v>
      </c>
      <c r="X309" s="50">
        <v>1.53125</v>
      </c>
      <c r="Y309" s="81">
        <v>1.53125</v>
      </c>
      <c r="Z309" s="50">
        <v>1.53125</v>
      </c>
      <c r="AA309" s="50">
        <v>0.14225778</v>
      </c>
      <c r="AB309" s="50">
        <v>0.14225778</v>
      </c>
      <c r="AC309" s="64">
        <v>3.13</v>
      </c>
      <c r="AD309" s="64"/>
      <c r="AE309" s="64"/>
      <c r="AF309" s="64"/>
      <c r="AG309" s="44">
        <v>16.624955459700001</v>
      </c>
      <c r="AH309" s="44">
        <v>7.5396623399999996</v>
      </c>
    </row>
    <row r="310" spans="1:34" ht="22.5" customHeight="1">
      <c r="A310" s="89">
        <v>260</v>
      </c>
      <c r="B310" s="105" t="s">
        <v>74</v>
      </c>
      <c r="C310" s="33" t="s">
        <v>65</v>
      </c>
      <c r="D310" s="98">
        <v>23</v>
      </c>
      <c r="E310" s="98"/>
      <c r="F310" s="33" t="s">
        <v>54</v>
      </c>
      <c r="G310" s="33" t="s">
        <v>116</v>
      </c>
      <c r="H310" s="79" t="s">
        <v>56</v>
      </c>
      <c r="I310" s="79" t="s">
        <v>60</v>
      </c>
      <c r="J310" s="39" t="s">
        <v>46</v>
      </c>
      <c r="K310" s="34">
        <v>21.75</v>
      </c>
      <c r="L310" s="38" t="s">
        <v>84</v>
      </c>
      <c r="M310" s="35">
        <v>3</v>
      </c>
      <c r="N310" s="35" t="s">
        <v>84</v>
      </c>
      <c r="O310" s="36">
        <v>0.75</v>
      </c>
      <c r="P310" s="36"/>
      <c r="Q310" s="36"/>
      <c r="R310" s="36">
        <v>1</v>
      </c>
      <c r="S310" s="36"/>
      <c r="T310" s="36"/>
      <c r="U310" s="71">
        <v>1</v>
      </c>
      <c r="V310" s="203"/>
      <c r="W310" s="50">
        <v>0.453125</v>
      </c>
      <c r="X310" s="50">
        <v>0.453125</v>
      </c>
      <c r="Y310" s="81">
        <v>0.453125</v>
      </c>
      <c r="Z310" s="50">
        <v>0.453125</v>
      </c>
      <c r="AA310" s="50">
        <v>4.2096690000000006E-2</v>
      </c>
      <c r="AB310" s="50">
        <v>4.2096690000000006E-2</v>
      </c>
      <c r="AC310" s="64">
        <v>3.13</v>
      </c>
      <c r="AD310" s="64"/>
      <c r="AE310" s="64"/>
      <c r="AF310" s="64"/>
      <c r="AG310" s="44">
        <v>4.9196296768500005</v>
      </c>
      <c r="AH310" s="44">
        <v>2.23112457</v>
      </c>
    </row>
    <row r="311" spans="1:34" ht="22.5" customHeight="1">
      <c r="A311" s="89">
        <v>261</v>
      </c>
      <c r="B311" s="105" t="s">
        <v>74</v>
      </c>
      <c r="C311" s="33" t="s">
        <v>65</v>
      </c>
      <c r="D311" s="98">
        <v>24</v>
      </c>
      <c r="E311" s="98"/>
      <c r="F311" s="33" t="s">
        <v>54</v>
      </c>
      <c r="G311" s="33" t="s">
        <v>116</v>
      </c>
      <c r="H311" s="79" t="s">
        <v>61</v>
      </c>
      <c r="I311" s="79" t="s">
        <v>60</v>
      </c>
      <c r="J311" s="39" t="s">
        <v>46</v>
      </c>
      <c r="K311" s="34">
        <v>66.5</v>
      </c>
      <c r="L311" s="35" t="s">
        <v>84</v>
      </c>
      <c r="M311" s="35">
        <v>22.5</v>
      </c>
      <c r="N311" s="35" t="s">
        <v>84</v>
      </c>
      <c r="O311" s="36">
        <v>0.75</v>
      </c>
      <c r="P311" s="36"/>
      <c r="Q311" s="36"/>
      <c r="R311" s="36">
        <v>1</v>
      </c>
      <c r="S311" s="36"/>
      <c r="T311" s="36"/>
      <c r="U311" s="71">
        <v>1</v>
      </c>
      <c r="V311" s="203"/>
      <c r="W311" s="50">
        <v>10.390625</v>
      </c>
      <c r="X311" s="50">
        <v>10.390625</v>
      </c>
      <c r="Y311" s="81">
        <v>10.390625</v>
      </c>
      <c r="Z311" s="50">
        <v>10.390625</v>
      </c>
      <c r="AA311" s="50">
        <v>0.96532065000000011</v>
      </c>
      <c r="AB311" s="50">
        <v>0.96532065000000011</v>
      </c>
      <c r="AC311" s="64">
        <v>3.13</v>
      </c>
      <c r="AD311" s="64"/>
      <c r="AE311" s="64">
        <v>1</v>
      </c>
      <c r="AF311" s="64"/>
      <c r="AG311" s="44">
        <v>112.81219776225001</v>
      </c>
      <c r="AH311" s="44">
        <v>51.161994450000002</v>
      </c>
    </row>
    <row r="312" spans="1:34" ht="22.5" customHeight="1">
      <c r="A312" s="89">
        <v>262</v>
      </c>
      <c r="B312" s="104" t="s">
        <v>74</v>
      </c>
      <c r="C312" s="33" t="s">
        <v>65</v>
      </c>
      <c r="D312" s="98">
        <v>24</v>
      </c>
      <c r="E312" s="98"/>
      <c r="F312" s="33" t="s">
        <v>54</v>
      </c>
      <c r="G312" s="33" t="s">
        <v>116</v>
      </c>
      <c r="H312" s="79" t="s">
        <v>55</v>
      </c>
      <c r="I312" s="79" t="s">
        <v>60</v>
      </c>
      <c r="J312" s="39" t="s">
        <v>46</v>
      </c>
      <c r="K312" s="38">
        <v>66.5</v>
      </c>
      <c r="L312" s="80" t="s">
        <v>84</v>
      </c>
      <c r="M312" s="38">
        <v>3</v>
      </c>
      <c r="N312" s="35" t="s">
        <v>84</v>
      </c>
      <c r="O312" s="36">
        <v>0.75</v>
      </c>
      <c r="P312" s="36"/>
      <c r="Q312" s="36"/>
      <c r="R312" s="36">
        <v>1</v>
      </c>
      <c r="S312" s="36"/>
      <c r="T312" s="36"/>
      <c r="U312" s="71">
        <v>1</v>
      </c>
      <c r="V312" s="203"/>
      <c r="W312" s="50">
        <v>1.3854166666666667</v>
      </c>
      <c r="X312" s="50">
        <v>1.3854166666666667</v>
      </c>
      <c r="Y312" s="81">
        <v>1.3854166666666667</v>
      </c>
      <c r="Z312" s="50">
        <v>1.3854166666666667</v>
      </c>
      <c r="AA312" s="50">
        <v>0.12870942000000002</v>
      </c>
      <c r="AB312" s="50">
        <v>0.12870942000000002</v>
      </c>
      <c r="AC312" s="64">
        <v>3.13</v>
      </c>
      <c r="AD312" s="64"/>
      <c r="AE312" s="64"/>
      <c r="AF312" s="64"/>
      <c r="AG312" s="44">
        <v>15.041626368300003</v>
      </c>
      <c r="AH312" s="44">
        <v>6.8215992600000011</v>
      </c>
    </row>
    <row r="313" spans="1:34" ht="22.5" customHeight="1">
      <c r="A313" s="89">
        <v>263</v>
      </c>
      <c r="B313" s="105" t="s">
        <v>74</v>
      </c>
      <c r="C313" s="33" t="s">
        <v>65</v>
      </c>
      <c r="D313" s="98">
        <v>24</v>
      </c>
      <c r="E313" s="98"/>
      <c r="F313" s="33" t="s">
        <v>54</v>
      </c>
      <c r="G313" s="33" t="s">
        <v>116</v>
      </c>
      <c r="H313" s="79" t="s">
        <v>56</v>
      </c>
      <c r="I313" s="79" t="s">
        <v>60</v>
      </c>
      <c r="J313" s="39" t="s">
        <v>46</v>
      </c>
      <c r="K313" s="34">
        <v>21.75</v>
      </c>
      <c r="L313" s="35" t="s">
        <v>84</v>
      </c>
      <c r="M313" s="35">
        <v>3</v>
      </c>
      <c r="N313" s="35" t="s">
        <v>84</v>
      </c>
      <c r="O313" s="36">
        <v>0.75</v>
      </c>
      <c r="P313" s="36"/>
      <c r="Q313" s="36"/>
      <c r="R313" s="36">
        <v>1</v>
      </c>
      <c r="S313" s="36"/>
      <c r="T313" s="36"/>
      <c r="U313" s="71">
        <v>1</v>
      </c>
      <c r="V313" s="203"/>
      <c r="W313" s="50">
        <v>0.453125</v>
      </c>
      <c r="X313" s="50">
        <v>0.453125</v>
      </c>
      <c r="Y313" s="81">
        <v>0.453125</v>
      </c>
      <c r="Z313" s="50">
        <v>0.453125</v>
      </c>
      <c r="AA313" s="50">
        <v>4.2096690000000006E-2</v>
      </c>
      <c r="AB313" s="50">
        <v>4.2096690000000006E-2</v>
      </c>
      <c r="AC313" s="64">
        <v>3.13</v>
      </c>
      <c r="AD313" s="64"/>
      <c r="AE313" s="64"/>
      <c r="AF313" s="64"/>
      <c r="AG313" s="44">
        <v>4.9196296768500005</v>
      </c>
      <c r="AH313" s="44">
        <v>2.23112457</v>
      </c>
    </row>
    <row r="314" spans="1:34" ht="22.5" customHeight="1">
      <c r="A314" s="89">
        <v>264</v>
      </c>
      <c r="B314" s="105" t="s">
        <v>75</v>
      </c>
      <c r="C314" s="33" t="s">
        <v>65</v>
      </c>
      <c r="D314" s="98">
        <v>30</v>
      </c>
      <c r="E314" s="98"/>
      <c r="F314" s="33" t="s">
        <v>54</v>
      </c>
      <c r="G314" s="33" t="s">
        <v>116</v>
      </c>
      <c r="H314" s="103" t="s">
        <v>61</v>
      </c>
      <c r="I314" s="79" t="s">
        <v>60</v>
      </c>
      <c r="J314" s="39" t="s">
        <v>46</v>
      </c>
      <c r="K314" s="34">
        <v>79.5</v>
      </c>
      <c r="L314" s="38" t="s">
        <v>84</v>
      </c>
      <c r="M314" s="35">
        <v>22.5</v>
      </c>
      <c r="N314" s="35" t="s">
        <v>84</v>
      </c>
      <c r="O314" s="36">
        <v>0.75</v>
      </c>
      <c r="P314" s="36"/>
      <c r="Q314" s="36"/>
      <c r="R314" s="36">
        <v>2</v>
      </c>
      <c r="S314" s="36"/>
      <c r="T314" s="36"/>
      <c r="U314" s="71">
        <v>2</v>
      </c>
      <c r="V314" s="203"/>
      <c r="W314" s="50">
        <v>12.421875</v>
      </c>
      <c r="X314" s="50">
        <v>24.84375</v>
      </c>
      <c r="Y314" s="81">
        <v>12.421875</v>
      </c>
      <c r="Z314" s="50">
        <v>24.84375</v>
      </c>
      <c r="AA314" s="50">
        <v>1.15402995</v>
      </c>
      <c r="AB314" s="50">
        <v>2.3080598999999999</v>
      </c>
      <c r="AC314" s="64">
        <v>3.13</v>
      </c>
      <c r="AD314" s="64">
        <v>3</v>
      </c>
      <c r="AE314" s="64">
        <v>2</v>
      </c>
      <c r="AF314" s="64">
        <v>10</v>
      </c>
      <c r="AG314" s="44">
        <v>269.73142021350003</v>
      </c>
      <c r="AH314" s="44">
        <v>122.3271747</v>
      </c>
    </row>
    <row r="315" spans="1:34" ht="22.5" customHeight="1">
      <c r="A315" s="89">
        <v>265</v>
      </c>
      <c r="B315" s="105" t="s">
        <v>75</v>
      </c>
      <c r="C315" s="33" t="s">
        <v>65</v>
      </c>
      <c r="D315" s="98">
        <v>30</v>
      </c>
      <c r="E315" s="98"/>
      <c r="F315" s="33" t="s">
        <v>54</v>
      </c>
      <c r="G315" s="33" t="s">
        <v>116</v>
      </c>
      <c r="H315" s="79" t="s">
        <v>55</v>
      </c>
      <c r="I315" s="79" t="s">
        <v>60</v>
      </c>
      <c r="J315" s="39" t="s">
        <v>46</v>
      </c>
      <c r="K315" s="34">
        <v>79.5</v>
      </c>
      <c r="L315" s="38" t="s">
        <v>84</v>
      </c>
      <c r="M315" s="35">
        <v>3</v>
      </c>
      <c r="N315" s="35" t="s">
        <v>84</v>
      </c>
      <c r="O315" s="36">
        <v>0.75</v>
      </c>
      <c r="P315" s="36"/>
      <c r="Q315" s="36"/>
      <c r="R315" s="36">
        <v>2</v>
      </c>
      <c r="S315" s="36"/>
      <c r="T315" s="36"/>
      <c r="U315" s="71">
        <v>2</v>
      </c>
      <c r="V315" s="203"/>
      <c r="W315" s="50">
        <v>1.65625</v>
      </c>
      <c r="X315" s="50">
        <v>3.3125</v>
      </c>
      <c r="Y315" s="81">
        <v>1.65625</v>
      </c>
      <c r="Z315" s="50">
        <v>3.3125</v>
      </c>
      <c r="AA315" s="50">
        <v>0.15387066000000002</v>
      </c>
      <c r="AB315" s="50">
        <v>0.30774132000000004</v>
      </c>
      <c r="AC315" s="64">
        <v>3.13</v>
      </c>
      <c r="AD315" s="64"/>
      <c r="AE315" s="64"/>
      <c r="AF315" s="64"/>
      <c r="AG315" s="44">
        <v>35.964189361800003</v>
      </c>
      <c r="AH315" s="44">
        <v>16.310289960000002</v>
      </c>
    </row>
    <row r="316" spans="1:34" ht="22.5" customHeight="1">
      <c r="A316" s="89">
        <v>266</v>
      </c>
      <c r="B316" s="105" t="s">
        <v>75</v>
      </c>
      <c r="C316" s="33" t="s">
        <v>65</v>
      </c>
      <c r="D316" s="98">
        <v>30</v>
      </c>
      <c r="E316" s="98"/>
      <c r="F316" s="33" t="s">
        <v>54</v>
      </c>
      <c r="G316" s="33" t="s">
        <v>116</v>
      </c>
      <c r="H316" s="79" t="s">
        <v>56</v>
      </c>
      <c r="I316" s="79" t="s">
        <v>60</v>
      </c>
      <c r="J316" s="39" t="s">
        <v>46</v>
      </c>
      <c r="K316" s="34">
        <v>21.75</v>
      </c>
      <c r="L316" s="35" t="s">
        <v>84</v>
      </c>
      <c r="M316" s="35">
        <v>3</v>
      </c>
      <c r="N316" s="35" t="s">
        <v>84</v>
      </c>
      <c r="O316" s="36">
        <v>0.75</v>
      </c>
      <c r="P316" s="36"/>
      <c r="Q316" s="36"/>
      <c r="R316" s="36">
        <v>2</v>
      </c>
      <c r="S316" s="36"/>
      <c r="T316" s="36"/>
      <c r="U316" s="71">
        <v>2</v>
      </c>
      <c r="V316" s="203"/>
      <c r="W316" s="50">
        <v>0.453125</v>
      </c>
      <c r="X316" s="50">
        <v>0.90625</v>
      </c>
      <c r="Y316" s="81">
        <v>0.453125</v>
      </c>
      <c r="Z316" s="50">
        <v>0.90625</v>
      </c>
      <c r="AA316" s="50">
        <v>4.2096690000000006E-2</v>
      </c>
      <c r="AB316" s="50">
        <v>8.4193380000000012E-2</v>
      </c>
      <c r="AC316" s="64">
        <v>3.13</v>
      </c>
      <c r="AD316" s="64"/>
      <c r="AE316" s="64"/>
      <c r="AF316" s="64"/>
      <c r="AG316" s="44">
        <v>9.839259353700001</v>
      </c>
      <c r="AH316" s="44">
        <v>4.4622491399999999</v>
      </c>
    </row>
    <row r="317" spans="1:34" ht="22.5" customHeight="1">
      <c r="A317" s="89">
        <v>267</v>
      </c>
      <c r="B317" s="104" t="s">
        <v>75</v>
      </c>
      <c r="C317" s="33" t="s">
        <v>65</v>
      </c>
      <c r="D317" s="98">
        <v>31</v>
      </c>
      <c r="E317" s="98"/>
      <c r="F317" s="33" t="s">
        <v>54</v>
      </c>
      <c r="G317" s="33" t="s">
        <v>116</v>
      </c>
      <c r="H317" s="79" t="s">
        <v>61</v>
      </c>
      <c r="I317" s="79" t="s">
        <v>60</v>
      </c>
      <c r="J317" s="39" t="s">
        <v>46</v>
      </c>
      <c r="K317" s="38">
        <v>51.5</v>
      </c>
      <c r="L317" s="80" t="s">
        <v>84</v>
      </c>
      <c r="M317" s="38">
        <v>22.5</v>
      </c>
      <c r="N317" s="35" t="s">
        <v>84</v>
      </c>
      <c r="O317" s="36">
        <v>0.75</v>
      </c>
      <c r="P317" s="36"/>
      <c r="Q317" s="36"/>
      <c r="R317" s="36">
        <v>2</v>
      </c>
      <c r="S317" s="36"/>
      <c r="T317" s="36"/>
      <c r="U317" s="71">
        <v>2</v>
      </c>
      <c r="V317" s="203"/>
      <c r="W317" s="50">
        <v>8.046875</v>
      </c>
      <c r="X317" s="50">
        <v>16.09375</v>
      </c>
      <c r="Y317" s="81">
        <v>8.046875</v>
      </c>
      <c r="Z317" s="50">
        <v>16.09375</v>
      </c>
      <c r="AA317" s="50">
        <v>0.74757915000000008</v>
      </c>
      <c r="AB317" s="50">
        <v>1.4951583000000002</v>
      </c>
      <c r="AC317" s="64">
        <v>3.13</v>
      </c>
      <c r="AD317" s="64"/>
      <c r="AE317" s="64">
        <v>1</v>
      </c>
      <c r="AF317" s="64"/>
      <c r="AG317" s="44">
        <v>174.73167472949999</v>
      </c>
      <c r="AH317" s="44">
        <v>79.243389899999997</v>
      </c>
    </row>
    <row r="318" spans="1:34" ht="22.5" customHeight="1">
      <c r="A318" s="89">
        <v>268</v>
      </c>
      <c r="B318" s="105" t="s">
        <v>75</v>
      </c>
      <c r="C318" s="33" t="s">
        <v>65</v>
      </c>
      <c r="D318" s="98">
        <v>31</v>
      </c>
      <c r="E318" s="98"/>
      <c r="F318" s="33" t="s">
        <v>54</v>
      </c>
      <c r="G318" s="33" t="s">
        <v>116</v>
      </c>
      <c r="H318" s="79" t="s">
        <v>55</v>
      </c>
      <c r="I318" s="79" t="s">
        <v>60</v>
      </c>
      <c r="J318" s="39" t="s">
        <v>46</v>
      </c>
      <c r="K318" s="34">
        <v>51.5</v>
      </c>
      <c r="L318" s="35" t="s">
        <v>84</v>
      </c>
      <c r="M318" s="35">
        <v>3</v>
      </c>
      <c r="N318" s="35" t="s">
        <v>84</v>
      </c>
      <c r="O318" s="36">
        <v>0.75</v>
      </c>
      <c r="P318" s="36"/>
      <c r="Q318" s="36"/>
      <c r="R318" s="36">
        <v>2</v>
      </c>
      <c r="S318" s="36"/>
      <c r="T318" s="36"/>
      <c r="U318" s="71">
        <v>2</v>
      </c>
      <c r="V318" s="203"/>
      <c r="W318" s="50">
        <v>1.0729166666666667</v>
      </c>
      <c r="X318" s="50">
        <v>2.1458333333333335</v>
      </c>
      <c r="Y318" s="81">
        <v>1.0729166666666667</v>
      </c>
      <c r="Z318" s="50">
        <v>2.1458333333333335</v>
      </c>
      <c r="AA318" s="50">
        <v>9.9677220000000011E-2</v>
      </c>
      <c r="AB318" s="50">
        <v>0.19935444000000002</v>
      </c>
      <c r="AC318" s="64">
        <v>3.13</v>
      </c>
      <c r="AD318" s="64"/>
      <c r="AE318" s="64"/>
      <c r="AF318" s="64"/>
      <c r="AG318" s="44">
        <v>23.297556630600003</v>
      </c>
      <c r="AH318" s="44">
        <v>10.565785320000002</v>
      </c>
    </row>
    <row r="319" spans="1:34" ht="22.5" customHeight="1">
      <c r="A319" s="89">
        <v>269</v>
      </c>
      <c r="B319" s="105" t="s">
        <v>75</v>
      </c>
      <c r="C319" s="33" t="s">
        <v>65</v>
      </c>
      <c r="D319" s="98">
        <v>32</v>
      </c>
      <c r="E319" s="98"/>
      <c r="F319" s="33" t="s">
        <v>54</v>
      </c>
      <c r="G319" s="33" t="s">
        <v>116</v>
      </c>
      <c r="H319" s="79" t="s">
        <v>78</v>
      </c>
      <c r="I319" s="79" t="s">
        <v>78</v>
      </c>
      <c r="J319" s="39" t="s">
        <v>46</v>
      </c>
      <c r="K319" s="34">
        <v>41.5</v>
      </c>
      <c r="L319" s="38" t="s">
        <v>84</v>
      </c>
      <c r="M319" s="35">
        <v>8.75</v>
      </c>
      <c r="N319" s="35" t="s">
        <v>84</v>
      </c>
      <c r="O319" s="36">
        <v>0.75</v>
      </c>
      <c r="P319" s="36"/>
      <c r="Q319" s="36"/>
      <c r="R319" s="36">
        <v>2</v>
      </c>
      <c r="S319" s="36"/>
      <c r="T319" s="36"/>
      <c r="U319" s="71">
        <v>2</v>
      </c>
      <c r="V319" s="203"/>
      <c r="W319" s="50">
        <v>2.5217013888888888</v>
      </c>
      <c r="X319" s="50">
        <v>5.0434027777777777</v>
      </c>
      <c r="Y319" s="81">
        <v>2.5217013888888888</v>
      </c>
      <c r="Z319" s="50">
        <v>5.0434027777777777</v>
      </c>
      <c r="AA319" s="50">
        <v>0.23427372500000002</v>
      </c>
      <c r="AB319" s="50">
        <v>0.46854745000000003</v>
      </c>
      <c r="AC319" s="64">
        <v>3.13</v>
      </c>
      <c r="AD319" s="64"/>
      <c r="AE319" s="64"/>
      <c r="AF319" s="64"/>
      <c r="AG319" s="44">
        <v>54.756797744250008</v>
      </c>
      <c r="AH319" s="44">
        <v>24.833014850000001</v>
      </c>
    </row>
    <row r="320" spans="1:34" ht="22.5" customHeight="1">
      <c r="A320" s="89">
        <v>270</v>
      </c>
      <c r="B320" s="105" t="s">
        <v>76</v>
      </c>
      <c r="C320" s="33" t="s">
        <v>65</v>
      </c>
      <c r="D320" s="98">
        <v>45</v>
      </c>
      <c r="E320" s="98"/>
      <c r="F320" s="33" t="s">
        <v>54</v>
      </c>
      <c r="G320" s="33" t="s">
        <v>116</v>
      </c>
      <c r="H320" s="103" t="s">
        <v>61</v>
      </c>
      <c r="I320" s="79" t="s">
        <v>60</v>
      </c>
      <c r="J320" s="39" t="s">
        <v>46</v>
      </c>
      <c r="K320" s="34">
        <v>70.5</v>
      </c>
      <c r="L320" s="38" t="s">
        <v>84</v>
      </c>
      <c r="M320" s="35">
        <v>22.5</v>
      </c>
      <c r="N320" s="35" t="s">
        <v>84</v>
      </c>
      <c r="O320" s="36">
        <v>0.75</v>
      </c>
      <c r="P320" s="36"/>
      <c r="Q320" s="36"/>
      <c r="R320" s="36">
        <v>1</v>
      </c>
      <c r="S320" s="36"/>
      <c r="T320" s="36"/>
      <c r="U320" s="71">
        <v>1</v>
      </c>
      <c r="V320" s="203"/>
      <c r="W320" s="50">
        <v>11.015625</v>
      </c>
      <c r="X320" s="50">
        <v>11.015625</v>
      </c>
      <c r="Y320" s="81">
        <v>11.015625</v>
      </c>
      <c r="Z320" s="50">
        <v>11.015625</v>
      </c>
      <c r="AA320" s="50">
        <v>1.0233850500000001</v>
      </c>
      <c r="AB320" s="50">
        <v>1.0233850500000001</v>
      </c>
      <c r="AC320" s="64">
        <v>3.13</v>
      </c>
      <c r="AD320" s="64">
        <v>3</v>
      </c>
      <c r="AE320" s="64">
        <v>2</v>
      </c>
      <c r="AF320" s="64">
        <v>10</v>
      </c>
      <c r="AG320" s="44">
        <v>119.59789386825001</v>
      </c>
      <c r="AH320" s="44">
        <v>54.239407650000004</v>
      </c>
    </row>
    <row r="321" spans="1:34" ht="22.5" customHeight="1">
      <c r="A321" s="89">
        <v>271</v>
      </c>
      <c r="B321" s="105" t="s">
        <v>76</v>
      </c>
      <c r="C321" s="33" t="s">
        <v>65</v>
      </c>
      <c r="D321" s="98">
        <v>45</v>
      </c>
      <c r="E321" s="98"/>
      <c r="F321" s="33" t="s">
        <v>54</v>
      </c>
      <c r="G321" s="33" t="s">
        <v>116</v>
      </c>
      <c r="H321" s="79" t="s">
        <v>55</v>
      </c>
      <c r="I321" s="79" t="s">
        <v>60</v>
      </c>
      <c r="J321" s="39" t="s">
        <v>46</v>
      </c>
      <c r="K321" s="34">
        <v>70.5</v>
      </c>
      <c r="L321" s="35" t="s">
        <v>84</v>
      </c>
      <c r="M321" s="35">
        <v>3</v>
      </c>
      <c r="N321" s="35" t="s">
        <v>84</v>
      </c>
      <c r="O321" s="36">
        <v>0.75</v>
      </c>
      <c r="P321" s="36"/>
      <c r="Q321" s="36"/>
      <c r="R321" s="36">
        <v>1</v>
      </c>
      <c r="S321" s="36"/>
      <c r="T321" s="36"/>
      <c r="U321" s="71">
        <v>1</v>
      </c>
      <c r="V321" s="203"/>
      <c r="W321" s="50">
        <v>1.46875</v>
      </c>
      <c r="X321" s="50">
        <v>1.46875</v>
      </c>
      <c r="Y321" s="81">
        <v>1.46875</v>
      </c>
      <c r="Z321" s="50">
        <v>1.46875</v>
      </c>
      <c r="AA321" s="50">
        <v>0.13645134</v>
      </c>
      <c r="AB321" s="50">
        <v>0.13645134</v>
      </c>
      <c r="AC321" s="64">
        <v>3.13</v>
      </c>
      <c r="AD321" s="64"/>
      <c r="AE321" s="64"/>
      <c r="AF321" s="64"/>
      <c r="AG321" s="44">
        <v>15.9463858491</v>
      </c>
      <c r="AH321" s="44">
        <v>7.2319210199999997</v>
      </c>
    </row>
    <row r="322" spans="1:34" ht="22.5" customHeight="1">
      <c r="A322" s="89">
        <v>272</v>
      </c>
      <c r="B322" s="104" t="s">
        <v>76</v>
      </c>
      <c r="C322" s="33" t="s">
        <v>65</v>
      </c>
      <c r="D322" s="98">
        <v>45</v>
      </c>
      <c r="E322" s="98"/>
      <c r="F322" s="33" t="s">
        <v>54</v>
      </c>
      <c r="G322" s="33" t="s">
        <v>116</v>
      </c>
      <c r="H322" s="79" t="s">
        <v>56</v>
      </c>
      <c r="I322" s="79" t="s">
        <v>60</v>
      </c>
      <c r="J322" s="39" t="s">
        <v>46</v>
      </c>
      <c r="K322" s="38">
        <v>21.75</v>
      </c>
      <c r="L322" s="80" t="s">
        <v>84</v>
      </c>
      <c r="M322" s="38">
        <v>3</v>
      </c>
      <c r="N322" s="35" t="s">
        <v>84</v>
      </c>
      <c r="O322" s="36">
        <v>0.75</v>
      </c>
      <c r="P322" s="36"/>
      <c r="Q322" s="36"/>
      <c r="R322" s="36">
        <v>1</v>
      </c>
      <c r="S322" s="36"/>
      <c r="T322" s="36"/>
      <c r="U322" s="71">
        <v>1</v>
      </c>
      <c r="V322" s="203"/>
      <c r="W322" s="50">
        <v>0.453125</v>
      </c>
      <c r="X322" s="50">
        <v>0.453125</v>
      </c>
      <c r="Y322" s="81">
        <v>0.453125</v>
      </c>
      <c r="Z322" s="50">
        <v>0.453125</v>
      </c>
      <c r="AA322" s="50">
        <v>4.2096690000000006E-2</v>
      </c>
      <c r="AB322" s="50">
        <v>4.2096690000000006E-2</v>
      </c>
      <c r="AC322" s="64">
        <v>3.13</v>
      </c>
      <c r="AD322" s="64"/>
      <c r="AE322" s="64"/>
      <c r="AF322" s="64"/>
      <c r="AG322" s="44">
        <v>4.9196296768500005</v>
      </c>
      <c r="AH322" s="44">
        <v>2.23112457</v>
      </c>
    </row>
    <row r="323" spans="1:34" ht="22.5" customHeight="1">
      <c r="A323" s="89">
        <v>273</v>
      </c>
      <c r="B323" s="105" t="s">
        <v>76</v>
      </c>
      <c r="C323" s="33" t="s">
        <v>65</v>
      </c>
      <c r="D323" s="98">
        <v>46</v>
      </c>
      <c r="E323" s="98"/>
      <c r="F323" s="33" t="s">
        <v>54</v>
      </c>
      <c r="G323" s="33" t="s">
        <v>116</v>
      </c>
      <c r="H323" s="103" t="s">
        <v>61</v>
      </c>
      <c r="I323" s="79" t="s">
        <v>60</v>
      </c>
      <c r="J323" s="39" t="s">
        <v>46</v>
      </c>
      <c r="K323" s="34">
        <v>76.5</v>
      </c>
      <c r="L323" s="35" t="s">
        <v>84</v>
      </c>
      <c r="M323" s="35">
        <v>22.5</v>
      </c>
      <c r="N323" s="35" t="s">
        <v>84</v>
      </c>
      <c r="O323" s="36">
        <v>0.75</v>
      </c>
      <c r="P323" s="36"/>
      <c r="Q323" s="36"/>
      <c r="R323" s="36">
        <v>1</v>
      </c>
      <c r="S323" s="36"/>
      <c r="T323" s="36"/>
      <c r="U323" s="71">
        <v>1</v>
      </c>
      <c r="V323" s="203"/>
      <c r="W323" s="50">
        <v>11.953125</v>
      </c>
      <c r="X323" s="50">
        <v>11.953125</v>
      </c>
      <c r="Y323" s="81">
        <v>11.953125</v>
      </c>
      <c r="Z323" s="50">
        <v>11.953125</v>
      </c>
      <c r="AA323" s="50">
        <v>1.1104816500000001</v>
      </c>
      <c r="AB323" s="50">
        <v>1.1104816500000001</v>
      </c>
      <c r="AC323" s="64">
        <v>3.13</v>
      </c>
      <c r="AD323" s="64">
        <v>3</v>
      </c>
      <c r="AE323" s="64">
        <v>2</v>
      </c>
      <c r="AF323" s="64">
        <v>10</v>
      </c>
      <c r="AG323" s="44">
        <v>129.77643802725001</v>
      </c>
      <c r="AH323" s="44">
        <v>58.855527449999997</v>
      </c>
    </row>
    <row r="324" spans="1:34" ht="22.5" customHeight="1">
      <c r="A324" s="89">
        <v>274</v>
      </c>
      <c r="B324" s="105" t="s">
        <v>76</v>
      </c>
      <c r="C324" s="33" t="s">
        <v>65</v>
      </c>
      <c r="D324" s="98">
        <v>46</v>
      </c>
      <c r="E324" s="98"/>
      <c r="F324" s="33" t="s">
        <v>54</v>
      </c>
      <c r="G324" s="33" t="s">
        <v>116</v>
      </c>
      <c r="H324" s="79" t="s">
        <v>55</v>
      </c>
      <c r="I324" s="79" t="s">
        <v>60</v>
      </c>
      <c r="J324" s="39" t="s">
        <v>46</v>
      </c>
      <c r="K324" s="34">
        <v>76.5</v>
      </c>
      <c r="L324" s="38" t="s">
        <v>84</v>
      </c>
      <c r="M324" s="35">
        <v>3</v>
      </c>
      <c r="N324" s="35" t="s">
        <v>84</v>
      </c>
      <c r="O324" s="36">
        <v>0.75</v>
      </c>
      <c r="P324" s="36"/>
      <c r="Q324" s="36"/>
      <c r="R324" s="36">
        <v>1</v>
      </c>
      <c r="S324" s="36"/>
      <c r="T324" s="36"/>
      <c r="U324" s="71">
        <v>1</v>
      </c>
      <c r="V324" s="203"/>
      <c r="W324" s="50">
        <v>1.59375</v>
      </c>
      <c r="X324" s="50">
        <v>1.59375</v>
      </c>
      <c r="Y324" s="81">
        <v>1.59375</v>
      </c>
      <c r="Z324" s="50">
        <v>1.59375</v>
      </c>
      <c r="AA324" s="50">
        <v>0.14806422</v>
      </c>
      <c r="AB324" s="50">
        <v>0.14806422</v>
      </c>
      <c r="AC324" s="64">
        <v>3.13</v>
      </c>
      <c r="AD324" s="64"/>
      <c r="AE324" s="64"/>
      <c r="AF324" s="64"/>
      <c r="AG324" s="44">
        <v>17.303525070300001</v>
      </c>
      <c r="AH324" s="44">
        <v>7.8474036600000003</v>
      </c>
    </row>
    <row r="325" spans="1:34" ht="22.5" customHeight="1">
      <c r="A325" s="89">
        <v>275</v>
      </c>
      <c r="B325" s="105" t="s">
        <v>76</v>
      </c>
      <c r="C325" s="33" t="s">
        <v>65</v>
      </c>
      <c r="D325" s="98">
        <v>46</v>
      </c>
      <c r="E325" s="98"/>
      <c r="F325" s="33" t="s">
        <v>54</v>
      </c>
      <c r="G325" s="33" t="s">
        <v>116</v>
      </c>
      <c r="H325" s="79" t="s">
        <v>56</v>
      </c>
      <c r="I325" s="79" t="s">
        <v>60</v>
      </c>
      <c r="J325" s="39" t="s">
        <v>46</v>
      </c>
      <c r="K325" s="34">
        <v>21.75</v>
      </c>
      <c r="L325" s="38" t="s">
        <v>84</v>
      </c>
      <c r="M325" s="35">
        <v>3</v>
      </c>
      <c r="N325" s="35" t="s">
        <v>84</v>
      </c>
      <c r="O325" s="36">
        <v>0.75</v>
      </c>
      <c r="P325" s="36"/>
      <c r="Q325" s="36"/>
      <c r="R325" s="36">
        <v>1</v>
      </c>
      <c r="S325" s="36"/>
      <c r="T325" s="36"/>
      <c r="U325" s="71">
        <v>1</v>
      </c>
      <c r="V325" s="204"/>
      <c r="W325" s="50">
        <v>0.453125</v>
      </c>
      <c r="X325" s="50">
        <v>0.453125</v>
      </c>
      <c r="Y325" s="81">
        <v>0.453125</v>
      </c>
      <c r="Z325" s="50">
        <v>0.453125</v>
      </c>
      <c r="AA325" s="50">
        <v>4.2096690000000006E-2</v>
      </c>
      <c r="AB325" s="50">
        <v>4.2096690000000006E-2</v>
      </c>
      <c r="AC325" s="64">
        <v>3.13</v>
      </c>
      <c r="AD325" s="64"/>
      <c r="AE325" s="64"/>
      <c r="AF325" s="64"/>
      <c r="AG325" s="44">
        <v>4.9196296768500005</v>
      </c>
      <c r="AH325" s="44">
        <v>2.23112457</v>
      </c>
    </row>
    <row r="326" spans="1:34" ht="22.5" customHeight="1">
      <c r="A326" s="89"/>
      <c r="B326" s="105"/>
      <c r="C326" s="33"/>
      <c r="D326" s="98"/>
      <c r="E326" s="98"/>
      <c r="F326" s="33"/>
      <c r="G326" s="33"/>
      <c r="H326" s="79"/>
      <c r="I326" s="79"/>
      <c r="J326" s="39"/>
      <c r="K326" s="34"/>
      <c r="L326" s="38"/>
      <c r="M326" s="35"/>
      <c r="N326" s="35"/>
      <c r="O326" s="36"/>
      <c r="P326" s="36"/>
      <c r="Q326" s="36"/>
      <c r="R326" s="36"/>
      <c r="S326" s="36"/>
      <c r="T326" s="36"/>
      <c r="U326" s="120">
        <f>SUBTOTAL(9,U300:U325)</f>
        <v>44</v>
      </c>
      <c r="V326" s="139"/>
      <c r="W326" s="129"/>
      <c r="X326" s="129"/>
      <c r="Y326" s="132"/>
      <c r="Z326" s="129"/>
      <c r="AA326" s="129"/>
      <c r="AB326" s="129"/>
      <c r="AC326" s="77"/>
      <c r="AD326" s="64"/>
      <c r="AE326" s="64"/>
      <c r="AF326" s="64"/>
      <c r="AG326" s="131">
        <f>SUBTOTAL(9,AG300:AG325)</f>
        <v>2065.5187717767749</v>
      </c>
      <c r="AH326" s="131">
        <f>SUBTOTAL(9,AH300:AH325)</f>
        <v>936.74320715500016</v>
      </c>
    </row>
    <row r="327" spans="1:34" ht="22.5" customHeight="1">
      <c r="A327" s="89">
        <v>276</v>
      </c>
      <c r="B327" s="105" t="s">
        <v>70</v>
      </c>
      <c r="C327" s="33" t="s">
        <v>43</v>
      </c>
      <c r="D327" s="98">
        <v>2</v>
      </c>
      <c r="E327" s="98"/>
      <c r="F327" s="33" t="s">
        <v>54</v>
      </c>
      <c r="G327" s="33" t="s">
        <v>116</v>
      </c>
      <c r="H327" s="79" t="s">
        <v>61</v>
      </c>
      <c r="I327" s="79" t="s">
        <v>60</v>
      </c>
      <c r="J327" s="39" t="s">
        <v>46</v>
      </c>
      <c r="K327" s="34">
        <v>49.5</v>
      </c>
      <c r="L327" s="35" t="s">
        <v>84</v>
      </c>
      <c r="M327" s="35">
        <v>22.5</v>
      </c>
      <c r="N327" s="35" t="s">
        <v>84</v>
      </c>
      <c r="O327" s="36">
        <v>0.75</v>
      </c>
      <c r="P327" s="36"/>
      <c r="Q327" s="36"/>
      <c r="R327" s="36"/>
      <c r="S327" s="36">
        <v>2</v>
      </c>
      <c r="T327" s="36"/>
      <c r="U327" s="71">
        <v>2</v>
      </c>
      <c r="V327" s="202">
        <v>33</v>
      </c>
      <c r="W327" s="50">
        <v>7.734375</v>
      </c>
      <c r="X327" s="50">
        <v>15.46875</v>
      </c>
      <c r="Y327" s="81">
        <v>7.734375</v>
      </c>
      <c r="Z327" s="50">
        <v>15.46875</v>
      </c>
      <c r="AA327" s="50">
        <v>0.71854695000000002</v>
      </c>
      <c r="AB327" s="50">
        <v>1.4370939</v>
      </c>
      <c r="AC327" s="64">
        <v>3.13</v>
      </c>
      <c r="AD327" s="64"/>
      <c r="AE327" s="64">
        <v>1</v>
      </c>
      <c r="AF327" s="64"/>
      <c r="AG327" s="44">
        <v>167.9459786235</v>
      </c>
      <c r="AH327" s="44">
        <v>76.165976700000002</v>
      </c>
    </row>
    <row r="328" spans="1:34" ht="22.5" customHeight="1">
      <c r="A328" s="89">
        <v>277</v>
      </c>
      <c r="B328" s="104" t="s">
        <v>70</v>
      </c>
      <c r="C328" s="33" t="s">
        <v>43</v>
      </c>
      <c r="D328" s="98">
        <v>2</v>
      </c>
      <c r="E328" s="98"/>
      <c r="F328" s="33" t="s">
        <v>54</v>
      </c>
      <c r="G328" s="33" t="s">
        <v>116</v>
      </c>
      <c r="H328" s="79" t="s">
        <v>55</v>
      </c>
      <c r="I328" s="79" t="s">
        <v>60</v>
      </c>
      <c r="J328" s="39" t="s">
        <v>46</v>
      </c>
      <c r="K328" s="38">
        <v>49.5</v>
      </c>
      <c r="L328" s="80" t="s">
        <v>84</v>
      </c>
      <c r="M328" s="38">
        <v>3</v>
      </c>
      <c r="N328" s="35" t="s">
        <v>84</v>
      </c>
      <c r="O328" s="36">
        <v>0.75</v>
      </c>
      <c r="P328" s="36"/>
      <c r="Q328" s="36"/>
      <c r="R328" s="36"/>
      <c r="S328" s="36">
        <v>2</v>
      </c>
      <c r="T328" s="36"/>
      <c r="U328" s="71">
        <v>2</v>
      </c>
      <c r="V328" s="203"/>
      <c r="W328" s="50">
        <v>1.03125</v>
      </c>
      <c r="X328" s="50">
        <v>2.0625</v>
      </c>
      <c r="Y328" s="81">
        <v>1.03125</v>
      </c>
      <c r="Z328" s="50">
        <v>2.0625</v>
      </c>
      <c r="AA328" s="50">
        <v>9.5806260000000004E-2</v>
      </c>
      <c r="AB328" s="50">
        <v>0.19161252000000001</v>
      </c>
      <c r="AC328" s="64">
        <v>3.13</v>
      </c>
      <c r="AD328" s="64"/>
      <c r="AE328" s="64"/>
      <c r="AF328" s="64"/>
      <c r="AG328" s="44">
        <v>22.3927971498</v>
      </c>
      <c r="AH328" s="44">
        <v>10.155463559999999</v>
      </c>
    </row>
    <row r="329" spans="1:34" ht="22.5" customHeight="1">
      <c r="A329" s="89">
        <v>278</v>
      </c>
      <c r="B329" s="105" t="s">
        <v>70</v>
      </c>
      <c r="C329" s="33" t="s">
        <v>43</v>
      </c>
      <c r="D329" s="98">
        <v>2</v>
      </c>
      <c r="E329" s="98"/>
      <c r="F329" s="33" t="s">
        <v>54</v>
      </c>
      <c r="G329" s="33" t="s">
        <v>116</v>
      </c>
      <c r="H329" s="79" t="s">
        <v>56</v>
      </c>
      <c r="I329" s="79" t="s">
        <v>60</v>
      </c>
      <c r="J329" s="39" t="s">
        <v>46</v>
      </c>
      <c r="K329" s="34">
        <v>21.75</v>
      </c>
      <c r="L329" s="35" t="s">
        <v>84</v>
      </c>
      <c r="M329" s="35">
        <v>3</v>
      </c>
      <c r="N329" s="35" t="s">
        <v>84</v>
      </c>
      <c r="O329" s="36">
        <v>0.75</v>
      </c>
      <c r="P329" s="36"/>
      <c r="Q329" s="36"/>
      <c r="R329" s="36"/>
      <c r="S329" s="36">
        <v>2</v>
      </c>
      <c r="T329" s="36"/>
      <c r="U329" s="71">
        <v>2</v>
      </c>
      <c r="V329" s="203"/>
      <c r="W329" s="50">
        <v>0.453125</v>
      </c>
      <c r="X329" s="50">
        <v>0.90625</v>
      </c>
      <c r="Y329" s="81">
        <v>0.453125</v>
      </c>
      <c r="Z329" s="50">
        <v>0.90625</v>
      </c>
      <c r="AA329" s="50">
        <v>4.2096690000000006E-2</v>
      </c>
      <c r="AB329" s="50">
        <v>8.4193380000000012E-2</v>
      </c>
      <c r="AC329" s="64">
        <v>3.13</v>
      </c>
      <c r="AD329" s="64"/>
      <c r="AE329" s="64"/>
      <c r="AF329" s="64"/>
      <c r="AG329" s="44">
        <v>9.839259353700001</v>
      </c>
      <c r="AH329" s="44">
        <v>4.4622491399999999</v>
      </c>
    </row>
    <row r="330" spans="1:34" ht="22.5" customHeight="1">
      <c r="A330" s="89">
        <v>279</v>
      </c>
      <c r="B330" s="105" t="s">
        <v>70</v>
      </c>
      <c r="C330" s="33" t="s">
        <v>65</v>
      </c>
      <c r="D330" s="98">
        <v>4</v>
      </c>
      <c r="E330" s="98"/>
      <c r="F330" s="33" t="s">
        <v>54</v>
      </c>
      <c r="G330" s="33" t="s">
        <v>116</v>
      </c>
      <c r="H330" s="79" t="s">
        <v>61</v>
      </c>
      <c r="I330" s="79" t="s">
        <v>60</v>
      </c>
      <c r="J330" s="39" t="s">
        <v>46</v>
      </c>
      <c r="K330" s="34">
        <v>49.5</v>
      </c>
      <c r="L330" s="38" t="s">
        <v>84</v>
      </c>
      <c r="M330" s="35">
        <v>22.5</v>
      </c>
      <c r="N330" s="35" t="s">
        <v>84</v>
      </c>
      <c r="O330" s="36">
        <v>0.75</v>
      </c>
      <c r="P330" s="36"/>
      <c r="Q330" s="36"/>
      <c r="R330" s="36"/>
      <c r="S330" s="36">
        <v>2</v>
      </c>
      <c r="T330" s="36"/>
      <c r="U330" s="71">
        <v>2</v>
      </c>
      <c r="V330" s="203"/>
      <c r="W330" s="50">
        <v>7.734375</v>
      </c>
      <c r="X330" s="50">
        <v>15.46875</v>
      </c>
      <c r="Y330" s="81">
        <v>7.734375</v>
      </c>
      <c r="Z330" s="50">
        <v>15.46875</v>
      </c>
      <c r="AA330" s="50">
        <v>0.71854695000000002</v>
      </c>
      <c r="AB330" s="50">
        <v>1.4370939</v>
      </c>
      <c r="AC330" s="64">
        <v>3.13</v>
      </c>
      <c r="AD330" s="64"/>
      <c r="AE330" s="64">
        <v>1</v>
      </c>
      <c r="AF330" s="64"/>
      <c r="AG330" s="44">
        <v>167.9459786235</v>
      </c>
      <c r="AH330" s="44">
        <v>76.165976700000002</v>
      </c>
    </row>
    <row r="331" spans="1:34" ht="22.5" customHeight="1">
      <c r="A331" s="89">
        <v>280</v>
      </c>
      <c r="B331" s="105" t="s">
        <v>70</v>
      </c>
      <c r="C331" s="33" t="s">
        <v>65</v>
      </c>
      <c r="D331" s="98">
        <v>4</v>
      </c>
      <c r="E331" s="98"/>
      <c r="F331" s="33" t="s">
        <v>54</v>
      </c>
      <c r="G331" s="33" t="s">
        <v>116</v>
      </c>
      <c r="H331" s="79" t="s">
        <v>55</v>
      </c>
      <c r="I331" s="79" t="s">
        <v>60</v>
      </c>
      <c r="J331" s="39" t="s">
        <v>46</v>
      </c>
      <c r="K331" s="34">
        <v>49.5</v>
      </c>
      <c r="L331" s="38" t="s">
        <v>84</v>
      </c>
      <c r="M331" s="35">
        <v>3</v>
      </c>
      <c r="N331" s="35" t="s">
        <v>84</v>
      </c>
      <c r="O331" s="36">
        <v>0.75</v>
      </c>
      <c r="P331" s="36"/>
      <c r="Q331" s="36"/>
      <c r="R331" s="36"/>
      <c r="S331" s="36">
        <v>2</v>
      </c>
      <c r="T331" s="36"/>
      <c r="U331" s="71">
        <v>2</v>
      </c>
      <c r="V331" s="203"/>
      <c r="W331" s="50">
        <v>1.03125</v>
      </c>
      <c r="X331" s="50">
        <v>2.0625</v>
      </c>
      <c r="Y331" s="81">
        <v>1.03125</v>
      </c>
      <c r="Z331" s="50">
        <v>2.0625</v>
      </c>
      <c r="AA331" s="50">
        <v>9.5806260000000004E-2</v>
      </c>
      <c r="AB331" s="50">
        <v>0.19161252000000001</v>
      </c>
      <c r="AC331" s="64">
        <v>3.13</v>
      </c>
      <c r="AD331" s="64"/>
      <c r="AE331" s="64"/>
      <c r="AF331" s="64"/>
      <c r="AG331" s="44">
        <v>22.3927971498</v>
      </c>
      <c r="AH331" s="44">
        <v>10.155463559999999</v>
      </c>
    </row>
    <row r="332" spans="1:34" ht="22.5" customHeight="1">
      <c r="A332" s="89">
        <v>281</v>
      </c>
      <c r="B332" s="105" t="s">
        <v>70</v>
      </c>
      <c r="C332" s="33" t="s">
        <v>65</v>
      </c>
      <c r="D332" s="98">
        <v>4</v>
      </c>
      <c r="E332" s="98"/>
      <c r="F332" s="33" t="s">
        <v>54</v>
      </c>
      <c r="G332" s="33" t="s">
        <v>116</v>
      </c>
      <c r="H332" s="79" t="s">
        <v>56</v>
      </c>
      <c r="I332" s="79" t="s">
        <v>60</v>
      </c>
      <c r="J332" s="39" t="s">
        <v>46</v>
      </c>
      <c r="K332" s="34">
        <v>21.75</v>
      </c>
      <c r="L332" s="35" t="s">
        <v>84</v>
      </c>
      <c r="M332" s="35">
        <v>3</v>
      </c>
      <c r="N332" s="35" t="s">
        <v>84</v>
      </c>
      <c r="O332" s="36">
        <v>0.75</v>
      </c>
      <c r="P332" s="36"/>
      <c r="Q332" s="36"/>
      <c r="R332" s="36"/>
      <c r="S332" s="36">
        <v>2</v>
      </c>
      <c r="T332" s="36"/>
      <c r="U332" s="71">
        <v>2</v>
      </c>
      <c r="V332" s="203"/>
      <c r="W332" s="50">
        <v>0.453125</v>
      </c>
      <c r="X332" s="50">
        <v>0.90625</v>
      </c>
      <c r="Y332" s="81">
        <v>0.453125</v>
      </c>
      <c r="Z332" s="50">
        <v>0.90625</v>
      </c>
      <c r="AA332" s="50">
        <v>4.2096690000000006E-2</v>
      </c>
      <c r="AB332" s="50">
        <v>8.4193380000000012E-2</v>
      </c>
      <c r="AC332" s="64">
        <v>3.13</v>
      </c>
      <c r="AD332" s="64"/>
      <c r="AE332" s="64"/>
      <c r="AF332" s="64"/>
      <c r="AG332" s="44">
        <v>9.839259353700001</v>
      </c>
      <c r="AH332" s="44">
        <v>4.4622491399999999</v>
      </c>
    </row>
    <row r="333" spans="1:34" ht="22.5" customHeight="1">
      <c r="A333" s="89">
        <v>282</v>
      </c>
      <c r="B333" s="104" t="s">
        <v>72</v>
      </c>
      <c r="C333" s="33" t="s">
        <v>43</v>
      </c>
      <c r="D333" s="98">
        <v>8</v>
      </c>
      <c r="E333" s="98"/>
      <c r="F333" s="33" t="s">
        <v>54</v>
      </c>
      <c r="G333" s="33" t="s">
        <v>116</v>
      </c>
      <c r="H333" s="79" t="s">
        <v>61</v>
      </c>
      <c r="I333" s="79" t="s">
        <v>60</v>
      </c>
      <c r="J333" s="39" t="s">
        <v>46</v>
      </c>
      <c r="K333" s="38">
        <v>49.5</v>
      </c>
      <c r="L333" s="80" t="s">
        <v>84</v>
      </c>
      <c r="M333" s="38">
        <v>22.5</v>
      </c>
      <c r="N333" s="35" t="s">
        <v>84</v>
      </c>
      <c r="O333" s="36">
        <v>0.75</v>
      </c>
      <c r="P333" s="36"/>
      <c r="Q333" s="36"/>
      <c r="R333" s="36"/>
      <c r="S333" s="36">
        <v>3</v>
      </c>
      <c r="T333" s="36"/>
      <c r="U333" s="71">
        <v>3</v>
      </c>
      <c r="V333" s="203"/>
      <c r="W333" s="50">
        <v>7.734375</v>
      </c>
      <c r="X333" s="50">
        <v>23.203125</v>
      </c>
      <c r="Y333" s="81">
        <v>7.734375</v>
      </c>
      <c r="Z333" s="50">
        <v>23.203125</v>
      </c>
      <c r="AA333" s="50">
        <v>0.71854695000000002</v>
      </c>
      <c r="AB333" s="50">
        <v>2.1556408500000002</v>
      </c>
      <c r="AC333" s="64">
        <v>3.13</v>
      </c>
      <c r="AD333" s="64"/>
      <c r="AE333" s="64">
        <v>1</v>
      </c>
      <c r="AF333" s="64"/>
      <c r="AG333" s="44">
        <v>251.91896793525004</v>
      </c>
      <c r="AH333" s="44">
        <v>114.24896505000001</v>
      </c>
    </row>
    <row r="334" spans="1:34" ht="22.5" customHeight="1">
      <c r="A334" s="89">
        <v>283</v>
      </c>
      <c r="B334" s="105" t="s">
        <v>72</v>
      </c>
      <c r="C334" s="33" t="s">
        <v>43</v>
      </c>
      <c r="D334" s="98">
        <v>8</v>
      </c>
      <c r="E334" s="98"/>
      <c r="F334" s="33" t="s">
        <v>54</v>
      </c>
      <c r="G334" s="33" t="s">
        <v>116</v>
      </c>
      <c r="H334" s="79" t="s">
        <v>55</v>
      </c>
      <c r="I334" s="79" t="s">
        <v>60</v>
      </c>
      <c r="J334" s="39" t="s">
        <v>46</v>
      </c>
      <c r="K334" s="34">
        <v>49.5</v>
      </c>
      <c r="L334" s="35" t="s">
        <v>84</v>
      </c>
      <c r="M334" s="35">
        <v>3</v>
      </c>
      <c r="N334" s="35" t="s">
        <v>84</v>
      </c>
      <c r="O334" s="36">
        <v>0.75</v>
      </c>
      <c r="P334" s="36"/>
      <c r="Q334" s="36"/>
      <c r="R334" s="36"/>
      <c r="S334" s="36">
        <v>3</v>
      </c>
      <c r="T334" s="36"/>
      <c r="U334" s="71">
        <v>3</v>
      </c>
      <c r="V334" s="203"/>
      <c r="W334" s="50">
        <v>1.03125</v>
      </c>
      <c r="X334" s="50">
        <v>3.09375</v>
      </c>
      <c r="Y334" s="81">
        <v>1.03125</v>
      </c>
      <c r="Z334" s="50">
        <v>3.09375</v>
      </c>
      <c r="AA334" s="50">
        <v>9.5806260000000004E-2</v>
      </c>
      <c r="AB334" s="50">
        <v>0.28741877999999998</v>
      </c>
      <c r="AC334" s="64">
        <v>3.13</v>
      </c>
      <c r="AD334" s="64"/>
      <c r="AE334" s="64"/>
      <c r="AF334" s="64"/>
      <c r="AG334" s="44">
        <v>33.589195724699998</v>
      </c>
      <c r="AH334" s="44">
        <v>15.233195339999998</v>
      </c>
    </row>
    <row r="335" spans="1:34" ht="22.5" customHeight="1">
      <c r="A335" s="89">
        <v>284</v>
      </c>
      <c r="B335" s="105" t="s">
        <v>72</v>
      </c>
      <c r="C335" s="33" t="s">
        <v>43</v>
      </c>
      <c r="D335" s="98">
        <v>8</v>
      </c>
      <c r="E335" s="98"/>
      <c r="F335" s="33" t="s">
        <v>54</v>
      </c>
      <c r="G335" s="33" t="s">
        <v>116</v>
      </c>
      <c r="H335" s="79" t="s">
        <v>56</v>
      </c>
      <c r="I335" s="79" t="s">
        <v>60</v>
      </c>
      <c r="J335" s="39" t="s">
        <v>46</v>
      </c>
      <c r="K335" s="34">
        <v>21.75</v>
      </c>
      <c r="L335" s="38" t="s">
        <v>84</v>
      </c>
      <c r="M335" s="35">
        <v>3</v>
      </c>
      <c r="N335" s="35" t="s">
        <v>84</v>
      </c>
      <c r="O335" s="36">
        <v>0.75</v>
      </c>
      <c r="P335" s="36"/>
      <c r="Q335" s="36"/>
      <c r="R335" s="36"/>
      <c r="S335" s="36">
        <v>3</v>
      </c>
      <c r="T335" s="36"/>
      <c r="U335" s="71">
        <v>3</v>
      </c>
      <c r="V335" s="203"/>
      <c r="W335" s="50">
        <v>0.453125</v>
      </c>
      <c r="X335" s="50">
        <v>1.359375</v>
      </c>
      <c r="Y335" s="81">
        <v>0.453125</v>
      </c>
      <c r="Z335" s="50">
        <v>1.359375</v>
      </c>
      <c r="AA335" s="50">
        <v>4.2096690000000006E-2</v>
      </c>
      <c r="AB335" s="50">
        <v>0.12629007000000003</v>
      </c>
      <c r="AC335" s="64">
        <v>3.13</v>
      </c>
      <c r="AD335" s="64"/>
      <c r="AE335" s="64"/>
      <c r="AF335" s="64"/>
      <c r="AG335" s="44">
        <v>14.758889030550003</v>
      </c>
      <c r="AH335" s="44">
        <v>6.6933737100000013</v>
      </c>
    </row>
    <row r="336" spans="1:34" ht="22.5" customHeight="1">
      <c r="A336" s="89">
        <v>285</v>
      </c>
      <c r="B336" s="105" t="s">
        <v>72</v>
      </c>
      <c r="C336" s="33" t="s">
        <v>43</v>
      </c>
      <c r="D336" s="98">
        <v>9</v>
      </c>
      <c r="E336" s="98"/>
      <c r="F336" s="33" t="s">
        <v>54</v>
      </c>
      <c r="G336" s="33" t="s">
        <v>116</v>
      </c>
      <c r="H336" s="79" t="s">
        <v>77</v>
      </c>
      <c r="I336" s="79" t="s">
        <v>77</v>
      </c>
      <c r="J336" s="39" t="s">
        <v>46</v>
      </c>
      <c r="K336" s="34">
        <v>43.75</v>
      </c>
      <c r="L336" s="38" t="s">
        <v>84</v>
      </c>
      <c r="M336" s="35">
        <v>25.5</v>
      </c>
      <c r="N336" s="35" t="s">
        <v>84</v>
      </c>
      <c r="O336" s="36">
        <v>0.75</v>
      </c>
      <c r="P336" s="36"/>
      <c r="Q336" s="36"/>
      <c r="R336" s="36"/>
      <c r="S336" s="36">
        <v>3</v>
      </c>
      <c r="T336" s="36"/>
      <c r="U336" s="71">
        <v>3</v>
      </c>
      <c r="V336" s="203"/>
      <c r="W336" s="50">
        <v>7.747395833333333</v>
      </c>
      <c r="X336" s="50">
        <v>23.2421875</v>
      </c>
      <c r="Y336" s="81">
        <v>7.747395833333333</v>
      </c>
      <c r="Z336" s="50">
        <v>23.2421875</v>
      </c>
      <c r="AA336" s="50">
        <v>0.71975662500000004</v>
      </c>
      <c r="AB336" s="50">
        <v>2.1592698750000001</v>
      </c>
      <c r="AC336" s="64">
        <v>3.13</v>
      </c>
      <c r="AD336" s="64"/>
      <c r="AE336" s="64"/>
      <c r="AF336" s="64"/>
      <c r="AG336" s="44">
        <v>252.34307394187505</v>
      </c>
      <c r="AH336" s="44">
        <v>114.44130337500002</v>
      </c>
    </row>
    <row r="337" spans="1:34" ht="22.5" customHeight="1">
      <c r="A337" s="89">
        <v>286</v>
      </c>
      <c r="B337" s="105" t="s">
        <v>72</v>
      </c>
      <c r="C337" s="33" t="s">
        <v>65</v>
      </c>
      <c r="D337" s="98">
        <v>11</v>
      </c>
      <c r="E337" s="98"/>
      <c r="F337" s="33" t="s">
        <v>54</v>
      </c>
      <c r="G337" s="33" t="s">
        <v>116</v>
      </c>
      <c r="H337" s="79" t="s">
        <v>61</v>
      </c>
      <c r="I337" s="79" t="s">
        <v>60</v>
      </c>
      <c r="J337" s="39" t="s">
        <v>46</v>
      </c>
      <c r="K337" s="34">
        <v>49.5</v>
      </c>
      <c r="L337" s="35" t="s">
        <v>84</v>
      </c>
      <c r="M337" s="35">
        <v>22.5</v>
      </c>
      <c r="N337" s="35" t="s">
        <v>84</v>
      </c>
      <c r="O337" s="36">
        <v>0.75</v>
      </c>
      <c r="P337" s="36"/>
      <c r="Q337" s="36"/>
      <c r="R337" s="36"/>
      <c r="S337" s="36">
        <v>3</v>
      </c>
      <c r="T337" s="36"/>
      <c r="U337" s="71">
        <v>3</v>
      </c>
      <c r="V337" s="203"/>
      <c r="W337" s="50">
        <v>7.734375</v>
      </c>
      <c r="X337" s="50">
        <v>23.203125</v>
      </c>
      <c r="Y337" s="81">
        <v>7.734375</v>
      </c>
      <c r="Z337" s="50">
        <v>23.203125</v>
      </c>
      <c r="AA337" s="50">
        <v>0.71854695000000002</v>
      </c>
      <c r="AB337" s="50">
        <v>2.1556408500000002</v>
      </c>
      <c r="AC337" s="64">
        <v>3.13</v>
      </c>
      <c r="AD337" s="64"/>
      <c r="AE337" s="64">
        <v>1</v>
      </c>
      <c r="AF337" s="64"/>
      <c r="AG337" s="44">
        <v>251.91896793525004</v>
      </c>
      <c r="AH337" s="44">
        <v>114.24896505000001</v>
      </c>
    </row>
    <row r="338" spans="1:34" ht="22.5" customHeight="1">
      <c r="A338" s="89">
        <v>287</v>
      </c>
      <c r="B338" s="104" t="s">
        <v>72</v>
      </c>
      <c r="C338" s="33" t="s">
        <v>65</v>
      </c>
      <c r="D338" s="98">
        <v>11</v>
      </c>
      <c r="E338" s="98"/>
      <c r="F338" s="33" t="s">
        <v>54</v>
      </c>
      <c r="G338" s="33" t="s">
        <v>116</v>
      </c>
      <c r="H338" s="79" t="s">
        <v>55</v>
      </c>
      <c r="I338" s="79" t="s">
        <v>60</v>
      </c>
      <c r="J338" s="39" t="s">
        <v>46</v>
      </c>
      <c r="K338" s="38">
        <v>49.5</v>
      </c>
      <c r="L338" s="80" t="s">
        <v>84</v>
      </c>
      <c r="M338" s="38">
        <v>3</v>
      </c>
      <c r="N338" s="35" t="s">
        <v>84</v>
      </c>
      <c r="O338" s="36">
        <v>0.75</v>
      </c>
      <c r="P338" s="36"/>
      <c r="Q338" s="36"/>
      <c r="R338" s="36"/>
      <c r="S338" s="36">
        <v>3</v>
      </c>
      <c r="T338" s="36"/>
      <c r="U338" s="71">
        <v>3</v>
      </c>
      <c r="V338" s="203"/>
      <c r="W338" s="50">
        <v>1.03125</v>
      </c>
      <c r="X338" s="50">
        <v>3.09375</v>
      </c>
      <c r="Y338" s="81">
        <v>1.03125</v>
      </c>
      <c r="Z338" s="50">
        <v>3.09375</v>
      </c>
      <c r="AA338" s="50">
        <v>9.5806260000000004E-2</v>
      </c>
      <c r="AB338" s="50">
        <v>0.28741877999999998</v>
      </c>
      <c r="AC338" s="64">
        <v>3.13</v>
      </c>
      <c r="AD338" s="64"/>
      <c r="AE338" s="64"/>
      <c r="AF338" s="64"/>
      <c r="AG338" s="44">
        <v>33.589195724699998</v>
      </c>
      <c r="AH338" s="44">
        <v>15.233195339999998</v>
      </c>
    </row>
    <row r="339" spans="1:34" ht="22.5" customHeight="1">
      <c r="A339" s="89">
        <v>288</v>
      </c>
      <c r="B339" s="105" t="s">
        <v>72</v>
      </c>
      <c r="C339" s="33" t="s">
        <v>65</v>
      </c>
      <c r="D339" s="98">
        <v>11</v>
      </c>
      <c r="E339" s="98"/>
      <c r="F339" s="33" t="s">
        <v>54</v>
      </c>
      <c r="G339" s="33" t="s">
        <v>116</v>
      </c>
      <c r="H339" s="79" t="s">
        <v>56</v>
      </c>
      <c r="I339" s="79" t="s">
        <v>60</v>
      </c>
      <c r="J339" s="39" t="s">
        <v>46</v>
      </c>
      <c r="K339" s="34">
        <v>21.75</v>
      </c>
      <c r="L339" s="35" t="s">
        <v>84</v>
      </c>
      <c r="M339" s="35">
        <v>3</v>
      </c>
      <c r="N339" s="35" t="s">
        <v>84</v>
      </c>
      <c r="O339" s="36">
        <v>0.75</v>
      </c>
      <c r="P339" s="36"/>
      <c r="Q339" s="36"/>
      <c r="R339" s="36"/>
      <c r="S339" s="36">
        <v>3</v>
      </c>
      <c r="T339" s="36"/>
      <c r="U339" s="71">
        <v>3</v>
      </c>
      <c r="V339" s="203"/>
      <c r="W339" s="50">
        <v>0.453125</v>
      </c>
      <c r="X339" s="50">
        <v>1.359375</v>
      </c>
      <c r="Y339" s="81">
        <v>0.453125</v>
      </c>
      <c r="Z339" s="50">
        <v>1.359375</v>
      </c>
      <c r="AA339" s="50">
        <v>4.2096690000000006E-2</v>
      </c>
      <c r="AB339" s="50">
        <v>0.12629007000000003</v>
      </c>
      <c r="AC339" s="64">
        <v>3.13</v>
      </c>
      <c r="AD339" s="64"/>
      <c r="AE339" s="64"/>
      <c r="AF339" s="64"/>
      <c r="AG339" s="44">
        <v>14.758889030550003</v>
      </c>
      <c r="AH339" s="44">
        <v>6.6933737100000013</v>
      </c>
    </row>
    <row r="340" spans="1:34" ht="22.5" customHeight="1">
      <c r="A340" s="89">
        <v>289</v>
      </c>
      <c r="B340" s="105" t="s">
        <v>72</v>
      </c>
      <c r="C340" s="33" t="s">
        <v>65</v>
      </c>
      <c r="D340" s="98">
        <v>12</v>
      </c>
      <c r="E340" s="98"/>
      <c r="F340" s="33" t="s">
        <v>54</v>
      </c>
      <c r="G340" s="33" t="s">
        <v>116</v>
      </c>
      <c r="H340" s="79" t="s">
        <v>77</v>
      </c>
      <c r="I340" s="79" t="s">
        <v>77</v>
      </c>
      <c r="J340" s="39" t="s">
        <v>46</v>
      </c>
      <c r="K340" s="34">
        <v>43.75</v>
      </c>
      <c r="L340" s="38" t="s">
        <v>84</v>
      </c>
      <c r="M340" s="35">
        <v>25.5</v>
      </c>
      <c r="N340" s="35" t="s">
        <v>84</v>
      </c>
      <c r="O340" s="36">
        <v>0.75</v>
      </c>
      <c r="P340" s="36"/>
      <c r="Q340" s="36"/>
      <c r="R340" s="36"/>
      <c r="S340" s="36">
        <v>3</v>
      </c>
      <c r="T340" s="36"/>
      <c r="U340" s="71">
        <v>3</v>
      </c>
      <c r="V340" s="204"/>
      <c r="W340" s="50">
        <v>7.747395833333333</v>
      </c>
      <c r="X340" s="50">
        <v>23.2421875</v>
      </c>
      <c r="Y340" s="81">
        <v>7.747395833333333</v>
      </c>
      <c r="Z340" s="50">
        <v>23.2421875</v>
      </c>
      <c r="AA340" s="50">
        <v>0.71975662500000004</v>
      </c>
      <c r="AB340" s="50">
        <v>2.1592698750000001</v>
      </c>
      <c r="AC340" s="64">
        <v>3.13</v>
      </c>
      <c r="AD340" s="64"/>
      <c r="AE340" s="64"/>
      <c r="AF340" s="64"/>
      <c r="AG340" s="44">
        <v>252.34307394187505</v>
      </c>
      <c r="AH340" s="44">
        <v>114.44130337500002</v>
      </c>
    </row>
    <row r="341" spans="1:34" ht="22.5" customHeight="1">
      <c r="A341" s="89"/>
      <c r="B341" s="105"/>
      <c r="C341" s="33"/>
      <c r="D341" s="98"/>
      <c r="E341" s="98"/>
      <c r="F341" s="33"/>
      <c r="G341" s="33"/>
      <c r="H341" s="79"/>
      <c r="I341" s="79"/>
      <c r="J341" s="39"/>
      <c r="K341" s="34"/>
      <c r="L341" s="38"/>
      <c r="M341" s="35"/>
      <c r="N341" s="35"/>
      <c r="O341" s="36"/>
      <c r="P341" s="36"/>
      <c r="Q341" s="36"/>
      <c r="R341" s="36"/>
      <c r="S341" s="36"/>
      <c r="T341" s="36"/>
      <c r="U341" s="120">
        <f>SUBTOTAL(9,U327:U340)</f>
        <v>36</v>
      </c>
      <c r="V341" s="139"/>
      <c r="W341" s="129"/>
      <c r="X341" s="129"/>
      <c r="Y341" s="132"/>
      <c r="Z341" s="129"/>
      <c r="AA341" s="129"/>
      <c r="AB341" s="129"/>
      <c r="AC341" s="77"/>
      <c r="AD341" s="64"/>
      <c r="AE341" s="64"/>
      <c r="AF341" s="64"/>
      <c r="AG341" s="131">
        <f>SUBTOTAL(9,AG327:AG340)</f>
        <v>1505.5763235187501</v>
      </c>
      <c r="AH341" s="131">
        <f>SUBTOTAL(9,AH327:AH340)</f>
        <v>682.80105374999994</v>
      </c>
    </row>
    <row r="342" spans="1:34" ht="22.5" customHeight="1">
      <c r="A342" s="89">
        <v>290</v>
      </c>
      <c r="B342" s="105" t="s">
        <v>71</v>
      </c>
      <c r="C342" s="33" t="s">
        <v>65</v>
      </c>
      <c r="D342" s="98">
        <v>6</v>
      </c>
      <c r="E342" s="98"/>
      <c r="F342" s="33" t="s">
        <v>54</v>
      </c>
      <c r="G342" s="33" t="s">
        <v>116</v>
      </c>
      <c r="H342" s="79" t="s">
        <v>61</v>
      </c>
      <c r="I342" s="79" t="s">
        <v>60</v>
      </c>
      <c r="J342" s="39" t="s">
        <v>46</v>
      </c>
      <c r="K342" s="34">
        <v>50.125</v>
      </c>
      <c r="L342" s="38" t="s">
        <v>84</v>
      </c>
      <c r="M342" s="35">
        <v>22.5</v>
      </c>
      <c r="N342" s="35" t="s">
        <v>84</v>
      </c>
      <c r="O342" s="36">
        <v>0.75</v>
      </c>
      <c r="P342" s="36"/>
      <c r="Q342" s="36"/>
      <c r="R342" s="36"/>
      <c r="S342" s="36"/>
      <c r="T342" s="36">
        <v>1</v>
      </c>
      <c r="U342" s="71">
        <v>1</v>
      </c>
      <c r="V342" s="202">
        <v>34</v>
      </c>
      <c r="W342" s="50">
        <v>7.83203125</v>
      </c>
      <c r="X342" s="50">
        <v>7.83203125</v>
      </c>
      <c r="Y342" s="81">
        <v>7.83203125</v>
      </c>
      <c r="Z342" s="50">
        <v>7.83203125</v>
      </c>
      <c r="AA342" s="50">
        <v>0.72761951250000001</v>
      </c>
      <c r="AB342" s="50">
        <v>0.72761951250000001</v>
      </c>
      <c r="AC342" s="64">
        <v>3.13</v>
      </c>
      <c r="AD342" s="64"/>
      <c r="AE342" s="64">
        <v>1</v>
      </c>
      <c r="AF342" s="64"/>
      <c r="AG342" s="44">
        <v>85.033254328312509</v>
      </c>
      <c r="AH342" s="44">
        <v>38.563834162500001</v>
      </c>
    </row>
    <row r="343" spans="1:34" ht="22.5" customHeight="1">
      <c r="A343" s="89">
        <v>291</v>
      </c>
      <c r="B343" s="105" t="s">
        <v>71</v>
      </c>
      <c r="C343" s="33" t="s">
        <v>65</v>
      </c>
      <c r="D343" s="98">
        <v>6</v>
      </c>
      <c r="E343" s="98"/>
      <c r="F343" s="33" t="s">
        <v>54</v>
      </c>
      <c r="G343" s="33" t="s">
        <v>116</v>
      </c>
      <c r="H343" s="79" t="s">
        <v>55</v>
      </c>
      <c r="I343" s="79" t="s">
        <v>60</v>
      </c>
      <c r="J343" s="39" t="s">
        <v>46</v>
      </c>
      <c r="K343" s="34">
        <v>50.125</v>
      </c>
      <c r="L343" s="35" t="s">
        <v>84</v>
      </c>
      <c r="M343" s="35">
        <v>3</v>
      </c>
      <c r="N343" s="35" t="s">
        <v>84</v>
      </c>
      <c r="O343" s="36">
        <v>0.75</v>
      </c>
      <c r="P343" s="36"/>
      <c r="Q343" s="36"/>
      <c r="R343" s="36"/>
      <c r="S343" s="36"/>
      <c r="T343" s="36">
        <v>1</v>
      </c>
      <c r="U343" s="71">
        <v>1</v>
      </c>
      <c r="V343" s="203"/>
      <c r="W343" s="50">
        <v>1.0442708333333333</v>
      </c>
      <c r="X343" s="50">
        <v>1.0442708333333333</v>
      </c>
      <c r="Y343" s="81">
        <v>1.0442708333333333</v>
      </c>
      <c r="Z343" s="50">
        <v>1.0442708333333333</v>
      </c>
      <c r="AA343" s="50">
        <v>9.7015934999999998E-2</v>
      </c>
      <c r="AB343" s="50">
        <v>9.7015934999999998E-2</v>
      </c>
      <c r="AC343" s="64">
        <v>3.13</v>
      </c>
      <c r="AD343" s="64"/>
      <c r="AE343" s="64"/>
      <c r="AF343" s="64"/>
      <c r="AG343" s="44">
        <v>11.337767243775</v>
      </c>
      <c r="AH343" s="44">
        <v>5.1418445549999996</v>
      </c>
    </row>
    <row r="344" spans="1:34" ht="22.5" customHeight="1">
      <c r="A344" s="89">
        <v>292</v>
      </c>
      <c r="B344" s="104" t="s">
        <v>71</v>
      </c>
      <c r="C344" s="33" t="s">
        <v>65</v>
      </c>
      <c r="D344" s="98">
        <v>6</v>
      </c>
      <c r="E344" s="98"/>
      <c r="F344" s="33" t="s">
        <v>54</v>
      </c>
      <c r="G344" s="33" t="s">
        <v>116</v>
      </c>
      <c r="H344" s="79" t="s">
        <v>56</v>
      </c>
      <c r="I344" s="79" t="s">
        <v>60</v>
      </c>
      <c r="J344" s="39" t="s">
        <v>46</v>
      </c>
      <c r="K344" s="38">
        <v>21.75</v>
      </c>
      <c r="L344" s="80" t="s">
        <v>84</v>
      </c>
      <c r="M344" s="38">
        <v>3</v>
      </c>
      <c r="N344" s="35" t="s">
        <v>84</v>
      </c>
      <c r="O344" s="36">
        <v>0.75</v>
      </c>
      <c r="P344" s="36"/>
      <c r="Q344" s="36"/>
      <c r="R344" s="36"/>
      <c r="S344" s="36"/>
      <c r="T344" s="36">
        <v>1</v>
      </c>
      <c r="U344" s="71">
        <v>1</v>
      </c>
      <c r="V344" s="203"/>
      <c r="W344" s="50">
        <v>0.453125</v>
      </c>
      <c r="X344" s="50">
        <v>0.453125</v>
      </c>
      <c r="Y344" s="81">
        <v>0.453125</v>
      </c>
      <c r="Z344" s="50">
        <v>0.453125</v>
      </c>
      <c r="AA344" s="50">
        <v>4.2096690000000006E-2</v>
      </c>
      <c r="AB344" s="50">
        <v>4.2096690000000006E-2</v>
      </c>
      <c r="AC344" s="64">
        <v>3.13</v>
      </c>
      <c r="AD344" s="64"/>
      <c r="AE344" s="64"/>
      <c r="AF344" s="64"/>
      <c r="AG344" s="44">
        <v>4.9196296768500005</v>
      </c>
      <c r="AH344" s="44">
        <v>2.23112457</v>
      </c>
    </row>
    <row r="345" spans="1:34" ht="22.5" customHeight="1">
      <c r="A345" s="89">
        <v>293</v>
      </c>
      <c r="B345" s="105" t="s">
        <v>73</v>
      </c>
      <c r="C345" s="33" t="s">
        <v>43</v>
      </c>
      <c r="D345" s="98">
        <v>14</v>
      </c>
      <c r="E345" s="98"/>
      <c r="F345" s="33" t="s">
        <v>54</v>
      </c>
      <c r="G345" s="33" t="s">
        <v>116</v>
      </c>
      <c r="H345" s="103" t="s">
        <v>61</v>
      </c>
      <c r="I345" s="79" t="s">
        <v>60</v>
      </c>
      <c r="J345" s="39" t="s">
        <v>46</v>
      </c>
      <c r="K345" s="34">
        <v>79.5</v>
      </c>
      <c r="L345" s="35" t="s">
        <v>84</v>
      </c>
      <c r="M345" s="35">
        <v>22.5</v>
      </c>
      <c r="N345" s="35" t="s">
        <v>84</v>
      </c>
      <c r="O345" s="36">
        <v>0.75</v>
      </c>
      <c r="P345" s="36"/>
      <c r="Q345" s="36"/>
      <c r="R345" s="36"/>
      <c r="S345" s="36">
        <v>1</v>
      </c>
      <c r="T345" s="36"/>
      <c r="U345" s="71">
        <v>1</v>
      </c>
      <c r="V345" s="203"/>
      <c r="W345" s="50">
        <v>12.421875</v>
      </c>
      <c r="X345" s="50">
        <v>12.421875</v>
      </c>
      <c r="Y345" s="81">
        <v>12.421875</v>
      </c>
      <c r="Z345" s="50">
        <v>12.421875</v>
      </c>
      <c r="AA345" s="50">
        <v>1.15402995</v>
      </c>
      <c r="AB345" s="50">
        <v>1.15402995</v>
      </c>
      <c r="AC345" s="64">
        <v>3.13</v>
      </c>
      <c r="AD345" s="64">
        <v>3</v>
      </c>
      <c r="AE345" s="64">
        <v>2</v>
      </c>
      <c r="AF345" s="64">
        <v>10</v>
      </c>
      <c r="AG345" s="44">
        <v>134.86571010675002</v>
      </c>
      <c r="AH345" s="44">
        <v>61.16358735</v>
      </c>
    </row>
    <row r="346" spans="1:34" ht="22.5" customHeight="1">
      <c r="A346" s="89">
        <v>294</v>
      </c>
      <c r="B346" s="105" t="s">
        <v>73</v>
      </c>
      <c r="C346" s="33" t="s">
        <v>43</v>
      </c>
      <c r="D346" s="98">
        <v>14</v>
      </c>
      <c r="E346" s="98"/>
      <c r="F346" s="33" t="s">
        <v>54</v>
      </c>
      <c r="G346" s="33" t="s">
        <v>116</v>
      </c>
      <c r="H346" s="79" t="s">
        <v>55</v>
      </c>
      <c r="I346" s="79" t="s">
        <v>60</v>
      </c>
      <c r="J346" s="39" t="s">
        <v>46</v>
      </c>
      <c r="K346" s="34">
        <v>79.5</v>
      </c>
      <c r="L346" s="38" t="s">
        <v>84</v>
      </c>
      <c r="M346" s="35">
        <v>3</v>
      </c>
      <c r="N346" s="35" t="s">
        <v>84</v>
      </c>
      <c r="O346" s="36">
        <v>0.75</v>
      </c>
      <c r="P346" s="36"/>
      <c r="Q346" s="36"/>
      <c r="R346" s="36"/>
      <c r="S346" s="36">
        <v>1</v>
      </c>
      <c r="T346" s="36"/>
      <c r="U346" s="71">
        <v>1</v>
      </c>
      <c r="V346" s="203"/>
      <c r="W346" s="50">
        <v>1.65625</v>
      </c>
      <c r="X346" s="50">
        <v>1.65625</v>
      </c>
      <c r="Y346" s="81">
        <v>1.65625</v>
      </c>
      <c r="Z346" s="50">
        <v>1.65625</v>
      </c>
      <c r="AA346" s="50">
        <v>0.15387066000000002</v>
      </c>
      <c r="AB346" s="50">
        <v>0.15387066000000002</v>
      </c>
      <c r="AC346" s="64">
        <v>3.13</v>
      </c>
      <c r="AD346" s="64"/>
      <c r="AE346" s="64"/>
      <c r="AF346" s="64"/>
      <c r="AG346" s="44">
        <v>17.982094680900001</v>
      </c>
      <c r="AH346" s="44">
        <v>8.1551449800000011</v>
      </c>
    </row>
    <row r="347" spans="1:34" ht="22.5" customHeight="1">
      <c r="A347" s="89">
        <v>295</v>
      </c>
      <c r="B347" s="105" t="s">
        <v>73</v>
      </c>
      <c r="C347" s="33" t="s">
        <v>43</v>
      </c>
      <c r="D347" s="98">
        <v>14</v>
      </c>
      <c r="E347" s="98"/>
      <c r="F347" s="33" t="s">
        <v>54</v>
      </c>
      <c r="G347" s="33" t="s">
        <v>116</v>
      </c>
      <c r="H347" s="79" t="s">
        <v>56</v>
      </c>
      <c r="I347" s="79" t="s">
        <v>60</v>
      </c>
      <c r="J347" s="39" t="s">
        <v>46</v>
      </c>
      <c r="K347" s="34">
        <v>21.75</v>
      </c>
      <c r="L347" s="38" t="s">
        <v>84</v>
      </c>
      <c r="M347" s="35">
        <v>3</v>
      </c>
      <c r="N347" s="35" t="s">
        <v>84</v>
      </c>
      <c r="O347" s="36">
        <v>0.75</v>
      </c>
      <c r="P347" s="36"/>
      <c r="Q347" s="36"/>
      <c r="R347" s="36"/>
      <c r="S347" s="36">
        <v>1</v>
      </c>
      <c r="T347" s="36"/>
      <c r="U347" s="71">
        <v>1</v>
      </c>
      <c r="V347" s="203"/>
      <c r="W347" s="50">
        <v>0.453125</v>
      </c>
      <c r="X347" s="50">
        <v>0.453125</v>
      </c>
      <c r="Y347" s="81">
        <v>0.453125</v>
      </c>
      <c r="Z347" s="50">
        <v>0.453125</v>
      </c>
      <c r="AA347" s="50">
        <v>4.2096690000000006E-2</v>
      </c>
      <c r="AB347" s="50">
        <v>4.2096690000000006E-2</v>
      </c>
      <c r="AC347" s="64">
        <v>3.13</v>
      </c>
      <c r="AD347" s="64"/>
      <c r="AE347" s="64"/>
      <c r="AF347" s="64"/>
      <c r="AG347" s="44">
        <v>4.9196296768500005</v>
      </c>
      <c r="AH347" s="44">
        <v>2.23112457</v>
      </c>
    </row>
    <row r="348" spans="1:34" ht="22.5" customHeight="1">
      <c r="A348" s="89">
        <v>296</v>
      </c>
      <c r="B348" s="105" t="s">
        <v>73</v>
      </c>
      <c r="C348" s="33" t="s">
        <v>43</v>
      </c>
      <c r="D348" s="98">
        <v>15</v>
      </c>
      <c r="E348" s="98"/>
      <c r="F348" s="33" t="s">
        <v>54</v>
      </c>
      <c r="G348" s="33" t="s">
        <v>116</v>
      </c>
      <c r="H348" s="79" t="s">
        <v>78</v>
      </c>
      <c r="I348" s="79" t="s">
        <v>78</v>
      </c>
      <c r="J348" s="39" t="s">
        <v>46</v>
      </c>
      <c r="K348" s="34">
        <v>41.5</v>
      </c>
      <c r="L348" s="35" t="s">
        <v>84</v>
      </c>
      <c r="M348" s="35">
        <v>8.75</v>
      </c>
      <c r="N348" s="35" t="s">
        <v>84</v>
      </c>
      <c r="O348" s="36">
        <v>0.75</v>
      </c>
      <c r="P348" s="36"/>
      <c r="Q348" s="36"/>
      <c r="R348" s="36"/>
      <c r="S348" s="36">
        <v>1</v>
      </c>
      <c r="T348" s="36"/>
      <c r="U348" s="71">
        <v>1</v>
      </c>
      <c r="V348" s="203"/>
      <c r="W348" s="50">
        <v>2.5217013888888888</v>
      </c>
      <c r="X348" s="50">
        <v>2.5217013888888888</v>
      </c>
      <c r="Y348" s="81">
        <v>2.5217013888888888</v>
      </c>
      <c r="Z348" s="50">
        <v>2.5217013888888888</v>
      </c>
      <c r="AA348" s="50">
        <v>0.23427372500000002</v>
      </c>
      <c r="AB348" s="50">
        <v>0.23427372500000002</v>
      </c>
      <c r="AC348" s="64">
        <v>3.13</v>
      </c>
      <c r="AD348" s="64"/>
      <c r="AE348" s="64"/>
      <c r="AF348" s="64"/>
      <c r="AG348" s="44">
        <v>27.378398872125004</v>
      </c>
      <c r="AH348" s="44">
        <v>12.416507425000001</v>
      </c>
    </row>
    <row r="349" spans="1:34" ht="22.5" customHeight="1">
      <c r="A349" s="89">
        <v>297</v>
      </c>
      <c r="B349" s="104" t="s">
        <v>73</v>
      </c>
      <c r="C349" s="33" t="s">
        <v>65</v>
      </c>
      <c r="D349" s="98">
        <v>17</v>
      </c>
      <c r="E349" s="98"/>
      <c r="F349" s="33" t="s">
        <v>54</v>
      </c>
      <c r="G349" s="33" t="s">
        <v>116</v>
      </c>
      <c r="H349" s="103" t="s">
        <v>61</v>
      </c>
      <c r="I349" s="79" t="s">
        <v>60</v>
      </c>
      <c r="J349" s="39" t="s">
        <v>46</v>
      </c>
      <c r="K349" s="38">
        <v>79.5</v>
      </c>
      <c r="L349" s="80" t="s">
        <v>84</v>
      </c>
      <c r="M349" s="38">
        <v>22.5</v>
      </c>
      <c r="N349" s="35" t="s">
        <v>84</v>
      </c>
      <c r="O349" s="36">
        <v>0.75</v>
      </c>
      <c r="P349" s="36"/>
      <c r="Q349" s="36"/>
      <c r="R349" s="36"/>
      <c r="S349" s="36">
        <v>3</v>
      </c>
      <c r="T349" s="36"/>
      <c r="U349" s="71">
        <v>3</v>
      </c>
      <c r="V349" s="203"/>
      <c r="W349" s="50">
        <v>12.421875</v>
      </c>
      <c r="X349" s="50">
        <v>37.265625</v>
      </c>
      <c r="Y349" s="81">
        <v>12.421875</v>
      </c>
      <c r="Z349" s="50">
        <v>37.265625</v>
      </c>
      <c r="AA349" s="50">
        <v>1.15402995</v>
      </c>
      <c r="AB349" s="50">
        <v>3.4620898499999999</v>
      </c>
      <c r="AC349" s="64">
        <v>3.13</v>
      </c>
      <c r="AD349" s="64">
        <v>3</v>
      </c>
      <c r="AE349" s="64">
        <v>2</v>
      </c>
      <c r="AF349" s="64">
        <v>10</v>
      </c>
      <c r="AG349" s="44">
        <v>404.59713032025002</v>
      </c>
      <c r="AH349" s="44">
        <v>183.49076205</v>
      </c>
    </row>
    <row r="350" spans="1:34" ht="22.5" customHeight="1">
      <c r="A350" s="89">
        <v>298</v>
      </c>
      <c r="B350" s="105" t="s">
        <v>73</v>
      </c>
      <c r="C350" s="33" t="s">
        <v>65</v>
      </c>
      <c r="D350" s="98">
        <v>17</v>
      </c>
      <c r="E350" s="98"/>
      <c r="F350" s="33" t="s">
        <v>54</v>
      </c>
      <c r="G350" s="33" t="s">
        <v>116</v>
      </c>
      <c r="H350" s="79" t="s">
        <v>55</v>
      </c>
      <c r="I350" s="79" t="s">
        <v>60</v>
      </c>
      <c r="J350" s="39" t="s">
        <v>46</v>
      </c>
      <c r="K350" s="34">
        <v>79.5</v>
      </c>
      <c r="L350" s="35" t="s">
        <v>84</v>
      </c>
      <c r="M350" s="35">
        <v>3</v>
      </c>
      <c r="N350" s="35" t="s">
        <v>84</v>
      </c>
      <c r="O350" s="36">
        <v>0.75</v>
      </c>
      <c r="P350" s="36"/>
      <c r="Q350" s="36"/>
      <c r="R350" s="36"/>
      <c r="S350" s="36">
        <v>3</v>
      </c>
      <c r="T350" s="36"/>
      <c r="U350" s="71">
        <v>3</v>
      </c>
      <c r="V350" s="203"/>
      <c r="W350" s="50">
        <v>1.65625</v>
      </c>
      <c r="X350" s="50">
        <v>4.96875</v>
      </c>
      <c r="Y350" s="81">
        <v>1.65625</v>
      </c>
      <c r="Z350" s="50">
        <v>4.96875</v>
      </c>
      <c r="AA350" s="50">
        <v>0.15387066000000002</v>
      </c>
      <c r="AB350" s="50">
        <v>0.46161198000000003</v>
      </c>
      <c r="AC350" s="64">
        <v>3.13</v>
      </c>
      <c r="AD350" s="64"/>
      <c r="AE350" s="64"/>
      <c r="AF350" s="64"/>
      <c r="AG350" s="44">
        <v>53.946284042700007</v>
      </c>
      <c r="AH350" s="44">
        <v>24.465434940000002</v>
      </c>
    </row>
    <row r="351" spans="1:34" ht="22.5" customHeight="1">
      <c r="A351" s="89">
        <v>299</v>
      </c>
      <c r="B351" s="105" t="s">
        <v>73</v>
      </c>
      <c r="C351" s="33" t="s">
        <v>65</v>
      </c>
      <c r="D351" s="98">
        <v>17</v>
      </c>
      <c r="E351" s="98"/>
      <c r="F351" s="33" t="s">
        <v>54</v>
      </c>
      <c r="G351" s="33" t="s">
        <v>116</v>
      </c>
      <c r="H351" s="79" t="s">
        <v>56</v>
      </c>
      <c r="I351" s="79" t="s">
        <v>60</v>
      </c>
      <c r="J351" s="39" t="s">
        <v>46</v>
      </c>
      <c r="K351" s="34">
        <v>21.75</v>
      </c>
      <c r="L351" s="38" t="s">
        <v>84</v>
      </c>
      <c r="M351" s="35">
        <v>3</v>
      </c>
      <c r="N351" s="35" t="s">
        <v>84</v>
      </c>
      <c r="O351" s="36">
        <v>0.75</v>
      </c>
      <c r="P351" s="36"/>
      <c r="Q351" s="36"/>
      <c r="R351" s="36"/>
      <c r="S351" s="36">
        <v>3</v>
      </c>
      <c r="T351" s="36"/>
      <c r="U351" s="71">
        <v>3</v>
      </c>
      <c r="V351" s="203"/>
      <c r="W351" s="50">
        <v>0.453125</v>
      </c>
      <c r="X351" s="50">
        <v>1.359375</v>
      </c>
      <c r="Y351" s="81">
        <v>0.453125</v>
      </c>
      <c r="Z351" s="50">
        <v>1.359375</v>
      </c>
      <c r="AA351" s="50">
        <v>4.2096690000000006E-2</v>
      </c>
      <c r="AB351" s="50">
        <v>0.12629007000000003</v>
      </c>
      <c r="AC351" s="64">
        <v>3.13</v>
      </c>
      <c r="AD351" s="64"/>
      <c r="AE351" s="64"/>
      <c r="AF351" s="64"/>
      <c r="AG351" s="44">
        <v>14.758889030550003</v>
      </c>
      <c r="AH351" s="44">
        <v>6.6933737100000013</v>
      </c>
    </row>
    <row r="352" spans="1:34" ht="22.5" customHeight="1">
      <c r="A352" s="89">
        <v>300</v>
      </c>
      <c r="B352" s="105" t="s">
        <v>73</v>
      </c>
      <c r="C352" s="33" t="s">
        <v>65</v>
      </c>
      <c r="D352" s="98">
        <v>18</v>
      </c>
      <c r="E352" s="98"/>
      <c r="F352" s="33" t="s">
        <v>54</v>
      </c>
      <c r="G352" s="33" t="s">
        <v>116</v>
      </c>
      <c r="H352" s="79" t="s">
        <v>78</v>
      </c>
      <c r="I352" s="79" t="s">
        <v>78</v>
      </c>
      <c r="J352" s="39" t="s">
        <v>46</v>
      </c>
      <c r="K352" s="34">
        <v>41.5</v>
      </c>
      <c r="L352" s="38" t="s">
        <v>84</v>
      </c>
      <c r="M352" s="35">
        <v>8.75</v>
      </c>
      <c r="N352" s="35" t="s">
        <v>84</v>
      </c>
      <c r="O352" s="36">
        <v>0.75</v>
      </c>
      <c r="P352" s="36"/>
      <c r="Q352" s="36"/>
      <c r="R352" s="36"/>
      <c r="S352" s="36">
        <v>3</v>
      </c>
      <c r="T352" s="36"/>
      <c r="U352" s="71">
        <v>3</v>
      </c>
      <c r="V352" s="203"/>
      <c r="W352" s="50">
        <v>2.5217013888888888</v>
      </c>
      <c r="X352" s="50">
        <v>7.5651041666666661</v>
      </c>
      <c r="Y352" s="81">
        <v>2.5217013888888888</v>
      </c>
      <c r="Z352" s="50">
        <v>7.5651041666666661</v>
      </c>
      <c r="AA352" s="50">
        <v>0.23427372500000002</v>
      </c>
      <c r="AB352" s="50">
        <v>0.70282117500000008</v>
      </c>
      <c r="AC352" s="64">
        <v>3.13</v>
      </c>
      <c r="AD352" s="64"/>
      <c r="AE352" s="64"/>
      <c r="AF352" s="64"/>
      <c r="AG352" s="44">
        <v>82.135196616375012</v>
      </c>
      <c r="AH352" s="44">
        <v>37.249522275000004</v>
      </c>
    </row>
    <row r="353" spans="1:34" ht="22.5" customHeight="1">
      <c r="A353" s="89">
        <v>301</v>
      </c>
      <c r="B353" s="105" t="s">
        <v>73</v>
      </c>
      <c r="C353" s="33" t="s">
        <v>65</v>
      </c>
      <c r="D353" s="98">
        <v>17</v>
      </c>
      <c r="E353" s="98"/>
      <c r="F353" s="33" t="s">
        <v>54</v>
      </c>
      <c r="G353" s="33" t="s">
        <v>116</v>
      </c>
      <c r="H353" s="103" t="s">
        <v>61</v>
      </c>
      <c r="I353" s="79" t="s">
        <v>60</v>
      </c>
      <c r="J353" s="39" t="s">
        <v>46</v>
      </c>
      <c r="K353" s="34">
        <v>79.5</v>
      </c>
      <c r="L353" s="35" t="s">
        <v>84</v>
      </c>
      <c r="M353" s="35">
        <v>22.5</v>
      </c>
      <c r="N353" s="35" t="s">
        <v>84</v>
      </c>
      <c r="O353" s="36">
        <v>0.75</v>
      </c>
      <c r="P353" s="36"/>
      <c r="Q353" s="36"/>
      <c r="R353" s="36"/>
      <c r="S353" s="36"/>
      <c r="T353" s="36">
        <v>1</v>
      </c>
      <c r="U353" s="71">
        <v>1</v>
      </c>
      <c r="V353" s="203"/>
      <c r="W353" s="50">
        <v>12.421875</v>
      </c>
      <c r="X353" s="50">
        <v>12.421875</v>
      </c>
      <c r="Y353" s="81">
        <v>12.421875</v>
      </c>
      <c r="Z353" s="50">
        <v>12.421875</v>
      </c>
      <c r="AA353" s="50">
        <v>1.15402995</v>
      </c>
      <c r="AB353" s="50">
        <v>1.15402995</v>
      </c>
      <c r="AC353" s="64">
        <v>3.13</v>
      </c>
      <c r="AD353" s="64">
        <v>3</v>
      </c>
      <c r="AE353" s="64">
        <v>2</v>
      </c>
      <c r="AF353" s="64">
        <v>10</v>
      </c>
      <c r="AG353" s="44">
        <v>134.86571010675002</v>
      </c>
      <c r="AH353" s="44">
        <v>61.16358735</v>
      </c>
    </row>
    <row r="354" spans="1:34" ht="22.5" customHeight="1">
      <c r="A354" s="89">
        <v>302</v>
      </c>
      <c r="B354" s="104" t="s">
        <v>73</v>
      </c>
      <c r="C354" s="33" t="s">
        <v>65</v>
      </c>
      <c r="D354" s="98">
        <v>17</v>
      </c>
      <c r="E354" s="98"/>
      <c r="F354" s="33" t="s">
        <v>54</v>
      </c>
      <c r="G354" s="33" t="s">
        <v>116</v>
      </c>
      <c r="H354" s="79" t="s">
        <v>55</v>
      </c>
      <c r="I354" s="79" t="s">
        <v>60</v>
      </c>
      <c r="J354" s="39" t="s">
        <v>46</v>
      </c>
      <c r="K354" s="38">
        <v>79.5</v>
      </c>
      <c r="L354" s="80" t="s">
        <v>84</v>
      </c>
      <c r="M354" s="38">
        <v>3</v>
      </c>
      <c r="N354" s="35" t="s">
        <v>84</v>
      </c>
      <c r="O354" s="36">
        <v>0.75</v>
      </c>
      <c r="P354" s="36"/>
      <c r="Q354" s="36"/>
      <c r="R354" s="36"/>
      <c r="S354" s="36"/>
      <c r="T354" s="36">
        <v>1</v>
      </c>
      <c r="U354" s="71">
        <v>1</v>
      </c>
      <c r="V354" s="203"/>
      <c r="W354" s="50">
        <v>1.65625</v>
      </c>
      <c r="X354" s="50">
        <v>1.65625</v>
      </c>
      <c r="Y354" s="81">
        <v>1.65625</v>
      </c>
      <c r="Z354" s="50">
        <v>1.65625</v>
      </c>
      <c r="AA354" s="50">
        <v>0.15387066000000002</v>
      </c>
      <c r="AB354" s="50">
        <v>0.15387066000000002</v>
      </c>
      <c r="AC354" s="64">
        <v>3.13</v>
      </c>
      <c r="AD354" s="64"/>
      <c r="AE354" s="64"/>
      <c r="AF354" s="64"/>
      <c r="AG354" s="44">
        <v>17.982094680900001</v>
      </c>
      <c r="AH354" s="44">
        <v>8.1551449800000011</v>
      </c>
    </row>
    <row r="355" spans="1:34" ht="22.5" customHeight="1">
      <c r="A355" s="89">
        <v>303</v>
      </c>
      <c r="B355" s="105" t="s">
        <v>73</v>
      </c>
      <c r="C355" s="33" t="s">
        <v>65</v>
      </c>
      <c r="D355" s="98">
        <v>17</v>
      </c>
      <c r="E355" s="98"/>
      <c r="F355" s="33" t="s">
        <v>54</v>
      </c>
      <c r="G355" s="33" t="s">
        <v>116</v>
      </c>
      <c r="H355" s="79" t="s">
        <v>56</v>
      </c>
      <c r="I355" s="79" t="s">
        <v>60</v>
      </c>
      <c r="J355" s="39" t="s">
        <v>46</v>
      </c>
      <c r="K355" s="34">
        <v>21.75</v>
      </c>
      <c r="L355" s="35" t="s">
        <v>84</v>
      </c>
      <c r="M355" s="35">
        <v>3</v>
      </c>
      <c r="N355" s="35" t="s">
        <v>84</v>
      </c>
      <c r="O355" s="36">
        <v>0.75</v>
      </c>
      <c r="P355" s="36"/>
      <c r="Q355" s="36"/>
      <c r="R355" s="36"/>
      <c r="S355" s="36"/>
      <c r="T355" s="36">
        <v>1</v>
      </c>
      <c r="U355" s="71">
        <v>1</v>
      </c>
      <c r="V355" s="203"/>
      <c r="W355" s="50">
        <v>0.453125</v>
      </c>
      <c r="X355" s="50">
        <v>0.453125</v>
      </c>
      <c r="Y355" s="81">
        <v>0.453125</v>
      </c>
      <c r="Z355" s="50">
        <v>0.453125</v>
      </c>
      <c r="AA355" s="50">
        <v>4.2096690000000006E-2</v>
      </c>
      <c r="AB355" s="50">
        <v>4.2096690000000006E-2</v>
      </c>
      <c r="AC355" s="64">
        <v>3.13</v>
      </c>
      <c r="AD355" s="64"/>
      <c r="AE355" s="64"/>
      <c r="AF355" s="64"/>
      <c r="AG355" s="44">
        <v>4.9196296768500005</v>
      </c>
      <c r="AH355" s="44">
        <v>2.23112457</v>
      </c>
    </row>
    <row r="356" spans="1:34" ht="22.5" customHeight="1">
      <c r="A356" s="89">
        <v>304</v>
      </c>
      <c r="B356" s="105" t="s">
        <v>73</v>
      </c>
      <c r="C356" s="33" t="s">
        <v>65</v>
      </c>
      <c r="D356" s="98">
        <v>18</v>
      </c>
      <c r="E356" s="98"/>
      <c r="F356" s="33" t="s">
        <v>54</v>
      </c>
      <c r="G356" s="33" t="s">
        <v>116</v>
      </c>
      <c r="H356" s="79" t="s">
        <v>78</v>
      </c>
      <c r="I356" s="79" t="s">
        <v>78</v>
      </c>
      <c r="J356" s="39" t="s">
        <v>46</v>
      </c>
      <c r="K356" s="34">
        <v>41.5</v>
      </c>
      <c r="L356" s="38" t="s">
        <v>84</v>
      </c>
      <c r="M356" s="35">
        <v>8.75</v>
      </c>
      <c r="N356" s="35" t="s">
        <v>84</v>
      </c>
      <c r="O356" s="36">
        <v>0.75</v>
      </c>
      <c r="P356" s="36"/>
      <c r="Q356" s="36"/>
      <c r="R356" s="36"/>
      <c r="S356" s="36"/>
      <c r="T356" s="36">
        <v>1</v>
      </c>
      <c r="U356" s="71">
        <v>1</v>
      </c>
      <c r="V356" s="203"/>
      <c r="W356" s="50">
        <v>2.5217013888888888</v>
      </c>
      <c r="X356" s="50">
        <v>2.5217013888888888</v>
      </c>
      <c r="Y356" s="81">
        <v>2.5217013888888888</v>
      </c>
      <c r="Z356" s="50">
        <v>2.5217013888888888</v>
      </c>
      <c r="AA356" s="50">
        <v>0.23427372500000002</v>
      </c>
      <c r="AB356" s="50">
        <v>0.23427372500000002</v>
      </c>
      <c r="AC356" s="64">
        <v>3.13</v>
      </c>
      <c r="AD356" s="64"/>
      <c r="AE356" s="64"/>
      <c r="AF356" s="64"/>
      <c r="AG356" s="44">
        <v>27.378398872125004</v>
      </c>
      <c r="AH356" s="44">
        <v>12.416507425000001</v>
      </c>
    </row>
    <row r="357" spans="1:34" ht="22.5" customHeight="1">
      <c r="A357" s="89">
        <v>305</v>
      </c>
      <c r="B357" s="105" t="s">
        <v>74</v>
      </c>
      <c r="C357" s="33" t="s">
        <v>65</v>
      </c>
      <c r="D357" s="98">
        <v>23</v>
      </c>
      <c r="E357" s="98"/>
      <c r="F357" s="33" t="s">
        <v>54</v>
      </c>
      <c r="G357" s="33" t="s">
        <v>116</v>
      </c>
      <c r="H357" s="103" t="s">
        <v>61</v>
      </c>
      <c r="I357" s="79" t="s">
        <v>60</v>
      </c>
      <c r="J357" s="39" t="s">
        <v>46</v>
      </c>
      <c r="K357" s="34">
        <v>73.5</v>
      </c>
      <c r="L357" s="38" t="s">
        <v>84</v>
      </c>
      <c r="M357" s="35">
        <v>22.5</v>
      </c>
      <c r="N357" s="35" t="s">
        <v>84</v>
      </c>
      <c r="O357" s="36">
        <v>0.75</v>
      </c>
      <c r="P357" s="36"/>
      <c r="Q357" s="36"/>
      <c r="R357" s="36"/>
      <c r="S357" s="36">
        <v>1</v>
      </c>
      <c r="T357" s="36"/>
      <c r="U357" s="71">
        <v>1</v>
      </c>
      <c r="V357" s="203"/>
      <c r="W357" s="50">
        <v>11.484375</v>
      </c>
      <c r="X357" s="50">
        <v>11.484375</v>
      </c>
      <c r="Y357" s="81">
        <v>11.484375</v>
      </c>
      <c r="Z357" s="50">
        <v>11.484375</v>
      </c>
      <c r="AA357" s="50">
        <v>1.06693335</v>
      </c>
      <c r="AB357" s="50">
        <v>1.06693335</v>
      </c>
      <c r="AC357" s="64">
        <v>3.13</v>
      </c>
      <c r="AD357" s="64">
        <v>3</v>
      </c>
      <c r="AE357" s="64">
        <v>2</v>
      </c>
      <c r="AF357" s="64">
        <v>10</v>
      </c>
      <c r="AG357" s="44">
        <v>124.68716594775</v>
      </c>
      <c r="AH357" s="44">
        <v>56.54746755</v>
      </c>
    </row>
    <row r="358" spans="1:34" ht="22.5" customHeight="1">
      <c r="A358" s="89">
        <v>306</v>
      </c>
      <c r="B358" s="105" t="s">
        <v>74</v>
      </c>
      <c r="C358" s="33" t="s">
        <v>65</v>
      </c>
      <c r="D358" s="98">
        <v>23</v>
      </c>
      <c r="E358" s="98"/>
      <c r="F358" s="33" t="s">
        <v>54</v>
      </c>
      <c r="G358" s="33" t="s">
        <v>116</v>
      </c>
      <c r="H358" s="79" t="s">
        <v>55</v>
      </c>
      <c r="I358" s="79" t="s">
        <v>60</v>
      </c>
      <c r="J358" s="39" t="s">
        <v>46</v>
      </c>
      <c r="K358" s="34">
        <v>73.5</v>
      </c>
      <c r="L358" s="35" t="s">
        <v>84</v>
      </c>
      <c r="M358" s="35">
        <v>3</v>
      </c>
      <c r="N358" s="35" t="s">
        <v>84</v>
      </c>
      <c r="O358" s="36">
        <v>0.75</v>
      </c>
      <c r="P358" s="36"/>
      <c r="Q358" s="36"/>
      <c r="R358" s="36"/>
      <c r="S358" s="36">
        <v>1</v>
      </c>
      <c r="T358" s="36"/>
      <c r="U358" s="71">
        <v>1</v>
      </c>
      <c r="V358" s="203"/>
      <c r="W358" s="50">
        <v>1.53125</v>
      </c>
      <c r="X358" s="50">
        <v>1.53125</v>
      </c>
      <c r="Y358" s="81">
        <v>1.53125</v>
      </c>
      <c r="Z358" s="50">
        <v>1.53125</v>
      </c>
      <c r="AA358" s="50">
        <v>0.14225778</v>
      </c>
      <c r="AB358" s="50">
        <v>0.14225778</v>
      </c>
      <c r="AC358" s="64">
        <v>3.13</v>
      </c>
      <c r="AD358" s="64"/>
      <c r="AE358" s="64"/>
      <c r="AF358" s="64"/>
      <c r="AG358" s="44">
        <v>16.624955459700001</v>
      </c>
      <c r="AH358" s="44">
        <v>7.5396623399999996</v>
      </c>
    </row>
    <row r="359" spans="1:34" ht="22.5" customHeight="1">
      <c r="A359" s="89">
        <v>307</v>
      </c>
      <c r="B359" s="104" t="s">
        <v>74</v>
      </c>
      <c r="C359" s="33" t="s">
        <v>65</v>
      </c>
      <c r="D359" s="98">
        <v>23</v>
      </c>
      <c r="E359" s="98"/>
      <c r="F359" s="33" t="s">
        <v>54</v>
      </c>
      <c r="G359" s="33" t="s">
        <v>116</v>
      </c>
      <c r="H359" s="79" t="s">
        <v>56</v>
      </c>
      <c r="I359" s="79" t="s">
        <v>60</v>
      </c>
      <c r="J359" s="39" t="s">
        <v>46</v>
      </c>
      <c r="K359" s="38">
        <v>21.75</v>
      </c>
      <c r="L359" s="80" t="s">
        <v>84</v>
      </c>
      <c r="M359" s="38">
        <v>3</v>
      </c>
      <c r="N359" s="35" t="s">
        <v>84</v>
      </c>
      <c r="O359" s="36">
        <v>0.75</v>
      </c>
      <c r="P359" s="36"/>
      <c r="Q359" s="36"/>
      <c r="R359" s="36"/>
      <c r="S359" s="36">
        <v>1</v>
      </c>
      <c r="T359" s="36"/>
      <c r="U359" s="71">
        <v>1</v>
      </c>
      <c r="V359" s="203"/>
      <c r="W359" s="50">
        <v>0.453125</v>
      </c>
      <c r="X359" s="50">
        <v>0.453125</v>
      </c>
      <c r="Y359" s="81">
        <v>0.453125</v>
      </c>
      <c r="Z359" s="50">
        <v>0.453125</v>
      </c>
      <c r="AA359" s="50">
        <v>4.2096690000000006E-2</v>
      </c>
      <c r="AB359" s="50">
        <v>4.2096690000000006E-2</v>
      </c>
      <c r="AC359" s="64">
        <v>3.13</v>
      </c>
      <c r="AD359" s="64"/>
      <c r="AE359" s="64"/>
      <c r="AF359" s="64"/>
      <c r="AG359" s="44">
        <v>4.9196296768500005</v>
      </c>
      <c r="AH359" s="44">
        <v>2.23112457</v>
      </c>
    </row>
    <row r="360" spans="1:34" ht="22.5" customHeight="1">
      <c r="A360" s="89">
        <v>308</v>
      </c>
      <c r="B360" s="105" t="s">
        <v>74</v>
      </c>
      <c r="C360" s="33" t="s">
        <v>65</v>
      </c>
      <c r="D360" s="98">
        <v>24</v>
      </c>
      <c r="E360" s="98"/>
      <c r="F360" s="33" t="s">
        <v>54</v>
      </c>
      <c r="G360" s="33" t="s">
        <v>116</v>
      </c>
      <c r="H360" s="79" t="s">
        <v>61</v>
      </c>
      <c r="I360" s="79" t="s">
        <v>60</v>
      </c>
      <c r="J360" s="39" t="s">
        <v>46</v>
      </c>
      <c r="K360" s="34">
        <v>66.5</v>
      </c>
      <c r="L360" s="35" t="s">
        <v>84</v>
      </c>
      <c r="M360" s="35">
        <v>22.5</v>
      </c>
      <c r="N360" s="35" t="s">
        <v>84</v>
      </c>
      <c r="O360" s="36">
        <v>0.75</v>
      </c>
      <c r="P360" s="36"/>
      <c r="Q360" s="36"/>
      <c r="R360" s="36"/>
      <c r="S360" s="36">
        <v>1</v>
      </c>
      <c r="T360" s="36"/>
      <c r="U360" s="71">
        <v>1</v>
      </c>
      <c r="V360" s="203"/>
      <c r="W360" s="50">
        <v>10.390625</v>
      </c>
      <c r="X360" s="50">
        <v>10.390625</v>
      </c>
      <c r="Y360" s="81">
        <v>10.390625</v>
      </c>
      <c r="Z360" s="50">
        <v>10.390625</v>
      </c>
      <c r="AA360" s="50">
        <v>0.96532065000000011</v>
      </c>
      <c r="AB360" s="50">
        <v>0.96532065000000011</v>
      </c>
      <c r="AC360" s="64">
        <v>3.13</v>
      </c>
      <c r="AD360" s="64"/>
      <c r="AE360" s="64">
        <v>1</v>
      </c>
      <c r="AF360" s="64"/>
      <c r="AG360" s="44">
        <v>112.81219776225001</v>
      </c>
      <c r="AH360" s="44">
        <v>51.161994450000002</v>
      </c>
    </row>
    <row r="361" spans="1:34" ht="22.5" customHeight="1">
      <c r="A361" s="89">
        <v>309</v>
      </c>
      <c r="B361" s="105" t="s">
        <v>74</v>
      </c>
      <c r="C361" s="33" t="s">
        <v>65</v>
      </c>
      <c r="D361" s="98">
        <v>24</v>
      </c>
      <c r="E361" s="98"/>
      <c r="F361" s="33" t="s">
        <v>54</v>
      </c>
      <c r="G361" s="33" t="s">
        <v>116</v>
      </c>
      <c r="H361" s="79" t="s">
        <v>55</v>
      </c>
      <c r="I361" s="79" t="s">
        <v>60</v>
      </c>
      <c r="J361" s="39" t="s">
        <v>46</v>
      </c>
      <c r="K361" s="34">
        <v>66.5</v>
      </c>
      <c r="L361" s="38" t="s">
        <v>84</v>
      </c>
      <c r="M361" s="35">
        <v>3</v>
      </c>
      <c r="N361" s="35" t="s">
        <v>84</v>
      </c>
      <c r="O361" s="36">
        <v>0.75</v>
      </c>
      <c r="P361" s="36"/>
      <c r="Q361" s="36"/>
      <c r="R361" s="36"/>
      <c r="S361" s="36">
        <v>1</v>
      </c>
      <c r="T361" s="36"/>
      <c r="U361" s="71">
        <v>1</v>
      </c>
      <c r="V361" s="203"/>
      <c r="W361" s="50">
        <v>1.3854166666666667</v>
      </c>
      <c r="X361" s="50">
        <v>1.3854166666666667</v>
      </c>
      <c r="Y361" s="81">
        <v>1.3854166666666667</v>
      </c>
      <c r="Z361" s="50">
        <v>1.3854166666666667</v>
      </c>
      <c r="AA361" s="50">
        <v>0.12870942000000002</v>
      </c>
      <c r="AB361" s="50">
        <v>0.12870942000000002</v>
      </c>
      <c r="AC361" s="64">
        <v>3.13</v>
      </c>
      <c r="AD361" s="64"/>
      <c r="AE361" s="64"/>
      <c r="AF361" s="64"/>
      <c r="AG361" s="44">
        <v>15.041626368300003</v>
      </c>
      <c r="AH361" s="44">
        <v>6.8215992600000011</v>
      </c>
    </row>
    <row r="362" spans="1:34" ht="22.5" customHeight="1">
      <c r="A362" s="89">
        <v>310</v>
      </c>
      <c r="B362" s="105" t="s">
        <v>74</v>
      </c>
      <c r="C362" s="33" t="s">
        <v>65</v>
      </c>
      <c r="D362" s="98">
        <v>24</v>
      </c>
      <c r="E362" s="98"/>
      <c r="F362" s="33" t="s">
        <v>54</v>
      </c>
      <c r="G362" s="33" t="s">
        <v>116</v>
      </c>
      <c r="H362" s="79" t="s">
        <v>56</v>
      </c>
      <c r="I362" s="79" t="s">
        <v>60</v>
      </c>
      <c r="J362" s="39" t="s">
        <v>46</v>
      </c>
      <c r="K362" s="34">
        <v>21.75</v>
      </c>
      <c r="L362" s="38" t="s">
        <v>84</v>
      </c>
      <c r="M362" s="35">
        <v>3</v>
      </c>
      <c r="N362" s="35" t="s">
        <v>84</v>
      </c>
      <c r="O362" s="36">
        <v>0.75</v>
      </c>
      <c r="P362" s="36"/>
      <c r="Q362" s="36"/>
      <c r="R362" s="36"/>
      <c r="S362" s="36">
        <v>1</v>
      </c>
      <c r="T362" s="36"/>
      <c r="U362" s="71">
        <v>1</v>
      </c>
      <c r="V362" s="203"/>
      <c r="W362" s="50">
        <v>0.453125</v>
      </c>
      <c r="X362" s="50">
        <v>0.453125</v>
      </c>
      <c r="Y362" s="81">
        <v>0.453125</v>
      </c>
      <c r="Z362" s="50">
        <v>0.453125</v>
      </c>
      <c r="AA362" s="50">
        <v>4.2096690000000006E-2</v>
      </c>
      <c r="AB362" s="50">
        <v>4.2096690000000006E-2</v>
      </c>
      <c r="AC362" s="64">
        <v>3.13</v>
      </c>
      <c r="AD362" s="64"/>
      <c r="AE362" s="64"/>
      <c r="AF362" s="64"/>
      <c r="AG362" s="44">
        <v>4.9196296768500005</v>
      </c>
      <c r="AH362" s="44">
        <v>2.23112457</v>
      </c>
    </row>
    <row r="363" spans="1:34" ht="22.5" customHeight="1">
      <c r="A363" s="89">
        <v>311</v>
      </c>
      <c r="B363" s="105" t="s">
        <v>75</v>
      </c>
      <c r="C363" s="33" t="s">
        <v>65</v>
      </c>
      <c r="D363" s="98">
        <v>30</v>
      </c>
      <c r="E363" s="98"/>
      <c r="F363" s="33" t="s">
        <v>54</v>
      </c>
      <c r="G363" s="33" t="s">
        <v>116</v>
      </c>
      <c r="H363" s="103" t="s">
        <v>61</v>
      </c>
      <c r="I363" s="79" t="s">
        <v>60</v>
      </c>
      <c r="J363" s="39" t="s">
        <v>46</v>
      </c>
      <c r="K363" s="34">
        <v>79.5</v>
      </c>
      <c r="L363" s="35" t="s">
        <v>84</v>
      </c>
      <c r="M363" s="35">
        <v>22.5</v>
      </c>
      <c r="N363" s="35" t="s">
        <v>84</v>
      </c>
      <c r="O363" s="36">
        <v>0.75</v>
      </c>
      <c r="P363" s="36"/>
      <c r="Q363" s="36"/>
      <c r="R363" s="36"/>
      <c r="S363" s="36">
        <v>1</v>
      </c>
      <c r="T363" s="36"/>
      <c r="U363" s="71">
        <v>1</v>
      </c>
      <c r="V363" s="203"/>
      <c r="W363" s="50">
        <v>12.421875</v>
      </c>
      <c r="X363" s="50">
        <v>12.421875</v>
      </c>
      <c r="Y363" s="81">
        <v>12.421875</v>
      </c>
      <c r="Z363" s="50">
        <v>12.421875</v>
      </c>
      <c r="AA363" s="50">
        <v>1.15402995</v>
      </c>
      <c r="AB363" s="50">
        <v>1.15402995</v>
      </c>
      <c r="AC363" s="64">
        <v>3.13</v>
      </c>
      <c r="AD363" s="64">
        <v>3</v>
      </c>
      <c r="AE363" s="64">
        <v>2</v>
      </c>
      <c r="AF363" s="64">
        <v>10</v>
      </c>
      <c r="AG363" s="44">
        <v>134.86571010675002</v>
      </c>
      <c r="AH363" s="44">
        <v>61.16358735</v>
      </c>
    </row>
    <row r="364" spans="1:34" ht="22.5" customHeight="1">
      <c r="A364" s="89">
        <v>312</v>
      </c>
      <c r="B364" s="105" t="s">
        <v>75</v>
      </c>
      <c r="C364" s="33" t="s">
        <v>65</v>
      </c>
      <c r="D364" s="98">
        <v>30</v>
      </c>
      <c r="E364" s="98"/>
      <c r="F364" s="33" t="s">
        <v>54</v>
      </c>
      <c r="G364" s="33" t="s">
        <v>116</v>
      </c>
      <c r="H364" s="79" t="s">
        <v>55</v>
      </c>
      <c r="I364" s="79" t="s">
        <v>60</v>
      </c>
      <c r="J364" s="39" t="s">
        <v>46</v>
      </c>
      <c r="K364" s="34">
        <v>79.5</v>
      </c>
      <c r="L364" s="38" t="s">
        <v>84</v>
      </c>
      <c r="M364" s="35">
        <v>3</v>
      </c>
      <c r="N364" s="35" t="s">
        <v>84</v>
      </c>
      <c r="O364" s="36">
        <v>0.75</v>
      </c>
      <c r="P364" s="36"/>
      <c r="Q364" s="36"/>
      <c r="R364" s="36"/>
      <c r="S364" s="36">
        <v>1</v>
      </c>
      <c r="T364" s="36"/>
      <c r="U364" s="71">
        <v>1</v>
      </c>
      <c r="V364" s="203"/>
      <c r="W364" s="50">
        <v>1.65625</v>
      </c>
      <c r="X364" s="50">
        <v>1.65625</v>
      </c>
      <c r="Y364" s="81">
        <v>1.65625</v>
      </c>
      <c r="Z364" s="50">
        <v>1.65625</v>
      </c>
      <c r="AA364" s="50">
        <v>0.15387066000000002</v>
      </c>
      <c r="AB364" s="50">
        <v>0.15387066000000002</v>
      </c>
      <c r="AC364" s="64">
        <v>3.13</v>
      </c>
      <c r="AD364" s="64"/>
      <c r="AE364" s="64"/>
      <c r="AF364" s="64"/>
      <c r="AG364" s="44">
        <v>17.982094680900001</v>
      </c>
      <c r="AH364" s="44">
        <v>8.1551449800000011</v>
      </c>
    </row>
    <row r="365" spans="1:34" ht="22.5" customHeight="1">
      <c r="A365" s="89">
        <v>313</v>
      </c>
      <c r="B365" s="105" t="s">
        <v>75</v>
      </c>
      <c r="C365" s="33" t="s">
        <v>65</v>
      </c>
      <c r="D365" s="98">
        <v>30</v>
      </c>
      <c r="E365" s="98"/>
      <c r="F365" s="33" t="s">
        <v>54</v>
      </c>
      <c r="G365" s="33" t="s">
        <v>116</v>
      </c>
      <c r="H365" s="79" t="s">
        <v>56</v>
      </c>
      <c r="I365" s="79" t="s">
        <v>60</v>
      </c>
      <c r="J365" s="39" t="s">
        <v>46</v>
      </c>
      <c r="K365" s="34">
        <v>21.75</v>
      </c>
      <c r="L365" s="38" t="s">
        <v>84</v>
      </c>
      <c r="M365" s="35">
        <v>3</v>
      </c>
      <c r="N365" s="35" t="s">
        <v>84</v>
      </c>
      <c r="O365" s="36">
        <v>0.75</v>
      </c>
      <c r="P365" s="36"/>
      <c r="Q365" s="36"/>
      <c r="R365" s="36"/>
      <c r="S365" s="36">
        <v>1</v>
      </c>
      <c r="T365" s="36"/>
      <c r="U365" s="71">
        <v>1</v>
      </c>
      <c r="V365" s="203"/>
      <c r="W365" s="50">
        <v>0.453125</v>
      </c>
      <c r="X365" s="50">
        <v>0.453125</v>
      </c>
      <c r="Y365" s="81">
        <v>0.453125</v>
      </c>
      <c r="Z365" s="50">
        <v>0.453125</v>
      </c>
      <c r="AA365" s="50">
        <v>4.2096690000000006E-2</v>
      </c>
      <c r="AB365" s="50">
        <v>4.2096690000000006E-2</v>
      </c>
      <c r="AC365" s="64">
        <v>3.13</v>
      </c>
      <c r="AD365" s="64"/>
      <c r="AE365" s="64"/>
      <c r="AF365" s="64"/>
      <c r="AG365" s="44">
        <v>4.9196296768500005</v>
      </c>
      <c r="AH365" s="44">
        <v>2.23112457</v>
      </c>
    </row>
    <row r="366" spans="1:34" ht="22.5" customHeight="1">
      <c r="A366" s="89">
        <v>314</v>
      </c>
      <c r="B366" s="104" t="s">
        <v>75</v>
      </c>
      <c r="C366" s="33" t="s">
        <v>65</v>
      </c>
      <c r="D366" s="98">
        <v>31</v>
      </c>
      <c r="E366" s="98"/>
      <c r="F366" s="33" t="s">
        <v>54</v>
      </c>
      <c r="G366" s="33" t="s">
        <v>116</v>
      </c>
      <c r="H366" s="79" t="s">
        <v>61</v>
      </c>
      <c r="I366" s="79" t="s">
        <v>60</v>
      </c>
      <c r="J366" s="39" t="s">
        <v>46</v>
      </c>
      <c r="K366" s="38">
        <v>51.5</v>
      </c>
      <c r="L366" s="80" t="s">
        <v>84</v>
      </c>
      <c r="M366" s="38">
        <v>22.5</v>
      </c>
      <c r="N366" s="35" t="s">
        <v>84</v>
      </c>
      <c r="O366" s="36">
        <v>0.75</v>
      </c>
      <c r="P366" s="36"/>
      <c r="Q366" s="36"/>
      <c r="R366" s="36"/>
      <c r="S366" s="36">
        <v>1</v>
      </c>
      <c r="T366" s="36"/>
      <c r="U366" s="71">
        <v>1</v>
      </c>
      <c r="V366" s="203"/>
      <c r="W366" s="50">
        <v>8.046875</v>
      </c>
      <c r="X366" s="50">
        <v>8.046875</v>
      </c>
      <c r="Y366" s="81">
        <v>8.046875</v>
      </c>
      <c r="Z366" s="50">
        <v>8.046875</v>
      </c>
      <c r="AA366" s="50">
        <v>0.74757915000000008</v>
      </c>
      <c r="AB366" s="50">
        <v>0.74757915000000008</v>
      </c>
      <c r="AC366" s="64">
        <v>3.13</v>
      </c>
      <c r="AD366" s="64"/>
      <c r="AE366" s="64">
        <v>1</v>
      </c>
      <c r="AF366" s="64"/>
      <c r="AG366" s="44">
        <v>87.365837364749993</v>
      </c>
      <c r="AH366" s="44">
        <v>39.621694949999998</v>
      </c>
    </row>
    <row r="367" spans="1:34" ht="22.5" customHeight="1">
      <c r="A367" s="89">
        <v>315</v>
      </c>
      <c r="B367" s="105" t="s">
        <v>75</v>
      </c>
      <c r="C367" s="33" t="s">
        <v>65</v>
      </c>
      <c r="D367" s="98">
        <v>31</v>
      </c>
      <c r="E367" s="98"/>
      <c r="F367" s="33" t="s">
        <v>54</v>
      </c>
      <c r="G367" s="33" t="s">
        <v>116</v>
      </c>
      <c r="H367" s="79" t="s">
        <v>55</v>
      </c>
      <c r="I367" s="79" t="s">
        <v>60</v>
      </c>
      <c r="J367" s="39" t="s">
        <v>46</v>
      </c>
      <c r="K367" s="34">
        <v>51.5</v>
      </c>
      <c r="L367" s="35" t="s">
        <v>84</v>
      </c>
      <c r="M367" s="35">
        <v>3</v>
      </c>
      <c r="N367" s="35" t="s">
        <v>84</v>
      </c>
      <c r="O367" s="36">
        <v>0.75</v>
      </c>
      <c r="P367" s="36"/>
      <c r="Q367" s="36"/>
      <c r="R367" s="36"/>
      <c r="S367" s="36">
        <v>1</v>
      </c>
      <c r="T367" s="36"/>
      <c r="U367" s="71">
        <v>1</v>
      </c>
      <c r="V367" s="203"/>
      <c r="W367" s="50">
        <v>1.0729166666666667</v>
      </c>
      <c r="X367" s="50">
        <v>1.0729166666666667</v>
      </c>
      <c r="Y367" s="81">
        <v>1.0729166666666667</v>
      </c>
      <c r="Z367" s="50">
        <v>1.0729166666666667</v>
      </c>
      <c r="AA367" s="50">
        <v>9.9677220000000011E-2</v>
      </c>
      <c r="AB367" s="50">
        <v>9.9677220000000011E-2</v>
      </c>
      <c r="AC367" s="64">
        <v>3.13</v>
      </c>
      <c r="AD367" s="64"/>
      <c r="AE367" s="64"/>
      <c r="AF367" s="64"/>
      <c r="AG367" s="44">
        <v>11.648778315300001</v>
      </c>
      <c r="AH367" s="44">
        <v>5.2828926600000008</v>
      </c>
    </row>
    <row r="368" spans="1:34" ht="22.5" customHeight="1">
      <c r="A368" s="89">
        <v>316</v>
      </c>
      <c r="B368" s="105" t="s">
        <v>75</v>
      </c>
      <c r="C368" s="33" t="s">
        <v>65</v>
      </c>
      <c r="D368" s="98">
        <v>32</v>
      </c>
      <c r="E368" s="98"/>
      <c r="F368" s="33" t="s">
        <v>54</v>
      </c>
      <c r="G368" s="33" t="s">
        <v>116</v>
      </c>
      <c r="H368" s="79" t="s">
        <v>78</v>
      </c>
      <c r="I368" s="79" t="s">
        <v>78</v>
      </c>
      <c r="J368" s="39" t="s">
        <v>46</v>
      </c>
      <c r="K368" s="34">
        <v>41.5</v>
      </c>
      <c r="L368" s="38" t="s">
        <v>84</v>
      </c>
      <c r="M368" s="35">
        <v>8.75</v>
      </c>
      <c r="N368" s="35" t="s">
        <v>84</v>
      </c>
      <c r="O368" s="36">
        <v>0.75</v>
      </c>
      <c r="P368" s="36"/>
      <c r="Q368" s="36"/>
      <c r="R368" s="36"/>
      <c r="S368" s="36">
        <v>1</v>
      </c>
      <c r="T368" s="36"/>
      <c r="U368" s="71">
        <v>1</v>
      </c>
      <c r="V368" s="203"/>
      <c r="W368" s="50">
        <v>2.5217013888888888</v>
      </c>
      <c r="X368" s="50">
        <v>2.5217013888888888</v>
      </c>
      <c r="Y368" s="81">
        <v>2.5217013888888888</v>
      </c>
      <c r="Z368" s="50">
        <v>2.5217013888888888</v>
      </c>
      <c r="AA368" s="50">
        <v>0.23427372500000002</v>
      </c>
      <c r="AB368" s="50">
        <v>0.23427372500000002</v>
      </c>
      <c r="AC368" s="64">
        <v>3.13</v>
      </c>
      <c r="AD368" s="64"/>
      <c r="AE368" s="64"/>
      <c r="AF368" s="64"/>
      <c r="AG368" s="44">
        <v>27.378398872125004</v>
      </c>
      <c r="AH368" s="44">
        <v>12.416507425000001</v>
      </c>
    </row>
    <row r="369" spans="1:34" ht="22.5" customHeight="1">
      <c r="A369" s="89">
        <v>317</v>
      </c>
      <c r="B369" s="105" t="s">
        <v>75</v>
      </c>
      <c r="C369" s="33" t="s">
        <v>65</v>
      </c>
      <c r="D369" s="98">
        <v>30</v>
      </c>
      <c r="E369" s="98"/>
      <c r="F369" s="33" t="s">
        <v>54</v>
      </c>
      <c r="G369" s="33" t="s">
        <v>116</v>
      </c>
      <c r="H369" s="103" t="s">
        <v>61</v>
      </c>
      <c r="I369" s="79" t="s">
        <v>60</v>
      </c>
      <c r="J369" s="39" t="s">
        <v>46</v>
      </c>
      <c r="K369" s="34">
        <v>79.5</v>
      </c>
      <c r="L369" s="38" t="s">
        <v>84</v>
      </c>
      <c r="M369" s="35">
        <v>22.5</v>
      </c>
      <c r="N369" s="35" t="s">
        <v>84</v>
      </c>
      <c r="O369" s="36">
        <v>0.75</v>
      </c>
      <c r="P369" s="36"/>
      <c r="Q369" s="36"/>
      <c r="R369" s="36"/>
      <c r="S369" s="36"/>
      <c r="T369" s="36">
        <v>1</v>
      </c>
      <c r="U369" s="71">
        <v>1</v>
      </c>
      <c r="V369" s="203"/>
      <c r="W369" s="50">
        <v>12.421875</v>
      </c>
      <c r="X369" s="50">
        <v>12.421875</v>
      </c>
      <c r="Y369" s="81">
        <v>12.421875</v>
      </c>
      <c r="Z369" s="50">
        <v>12.421875</v>
      </c>
      <c r="AA369" s="50">
        <v>1.15402995</v>
      </c>
      <c r="AB369" s="50">
        <v>1.15402995</v>
      </c>
      <c r="AC369" s="64">
        <v>3.13</v>
      </c>
      <c r="AD369" s="64">
        <v>3</v>
      </c>
      <c r="AE369" s="64">
        <v>2</v>
      </c>
      <c r="AF369" s="64">
        <v>10</v>
      </c>
      <c r="AG369" s="44">
        <v>134.86571010675002</v>
      </c>
      <c r="AH369" s="44">
        <v>61.16358735</v>
      </c>
    </row>
    <row r="370" spans="1:34" ht="22.5" customHeight="1">
      <c r="A370" s="89">
        <v>318</v>
      </c>
      <c r="B370" s="105" t="s">
        <v>75</v>
      </c>
      <c r="C370" s="33" t="s">
        <v>65</v>
      </c>
      <c r="D370" s="98">
        <v>30</v>
      </c>
      <c r="E370" s="98"/>
      <c r="F370" s="33" t="s">
        <v>54</v>
      </c>
      <c r="G370" s="33" t="s">
        <v>116</v>
      </c>
      <c r="H370" s="79" t="s">
        <v>55</v>
      </c>
      <c r="I370" s="79" t="s">
        <v>60</v>
      </c>
      <c r="J370" s="39" t="s">
        <v>46</v>
      </c>
      <c r="K370" s="34">
        <v>79.5</v>
      </c>
      <c r="L370" s="35" t="s">
        <v>84</v>
      </c>
      <c r="M370" s="35">
        <v>3</v>
      </c>
      <c r="N370" s="35" t="s">
        <v>84</v>
      </c>
      <c r="O370" s="36">
        <v>0.75</v>
      </c>
      <c r="P370" s="36"/>
      <c r="Q370" s="36"/>
      <c r="R370" s="36"/>
      <c r="S370" s="36"/>
      <c r="T370" s="36">
        <v>1</v>
      </c>
      <c r="U370" s="71">
        <v>1</v>
      </c>
      <c r="V370" s="203"/>
      <c r="W370" s="50">
        <v>1.65625</v>
      </c>
      <c r="X370" s="50">
        <v>1.65625</v>
      </c>
      <c r="Y370" s="81">
        <v>1.65625</v>
      </c>
      <c r="Z370" s="50">
        <v>1.65625</v>
      </c>
      <c r="AA370" s="50">
        <v>0.15387066000000002</v>
      </c>
      <c r="AB370" s="50">
        <v>0.15387066000000002</v>
      </c>
      <c r="AC370" s="64">
        <v>3.13</v>
      </c>
      <c r="AD370" s="64"/>
      <c r="AE370" s="64"/>
      <c r="AF370" s="64"/>
      <c r="AG370" s="44">
        <v>17.982094680900001</v>
      </c>
      <c r="AH370" s="44">
        <v>8.1551449800000011</v>
      </c>
    </row>
    <row r="371" spans="1:34" ht="22.5" customHeight="1">
      <c r="A371" s="89">
        <v>319</v>
      </c>
      <c r="B371" s="105" t="s">
        <v>75</v>
      </c>
      <c r="C371" s="33" t="s">
        <v>65</v>
      </c>
      <c r="D371" s="98">
        <v>30</v>
      </c>
      <c r="E371" s="98"/>
      <c r="F371" s="33" t="s">
        <v>54</v>
      </c>
      <c r="G371" s="33" t="s">
        <v>116</v>
      </c>
      <c r="H371" s="79" t="s">
        <v>56</v>
      </c>
      <c r="I371" s="79" t="s">
        <v>60</v>
      </c>
      <c r="J371" s="39" t="s">
        <v>46</v>
      </c>
      <c r="K371" s="34">
        <v>21.75</v>
      </c>
      <c r="L371" s="38" t="s">
        <v>84</v>
      </c>
      <c r="M371" s="35">
        <v>3</v>
      </c>
      <c r="N371" s="35" t="s">
        <v>84</v>
      </c>
      <c r="O371" s="36">
        <v>0.75</v>
      </c>
      <c r="P371" s="36"/>
      <c r="Q371" s="36"/>
      <c r="R371" s="36"/>
      <c r="S371" s="36"/>
      <c r="T371" s="36">
        <v>1</v>
      </c>
      <c r="U371" s="71">
        <v>1</v>
      </c>
      <c r="V371" s="203"/>
      <c r="W371" s="50">
        <v>0.453125</v>
      </c>
      <c r="X371" s="50">
        <v>0.453125</v>
      </c>
      <c r="Y371" s="81">
        <v>0.453125</v>
      </c>
      <c r="Z371" s="50">
        <v>0.453125</v>
      </c>
      <c r="AA371" s="50">
        <v>4.2096690000000006E-2</v>
      </c>
      <c r="AB371" s="50">
        <v>4.2096690000000006E-2</v>
      </c>
      <c r="AC371" s="64">
        <v>3.13</v>
      </c>
      <c r="AD371" s="64"/>
      <c r="AE371" s="64"/>
      <c r="AF371" s="64"/>
      <c r="AG371" s="44">
        <v>4.9196296768500005</v>
      </c>
      <c r="AH371" s="44">
        <v>2.23112457</v>
      </c>
    </row>
    <row r="372" spans="1:34" ht="22.5" customHeight="1">
      <c r="A372" s="89">
        <v>320</v>
      </c>
      <c r="B372" s="105" t="s">
        <v>75</v>
      </c>
      <c r="C372" s="33" t="s">
        <v>65</v>
      </c>
      <c r="D372" s="98">
        <v>31</v>
      </c>
      <c r="E372" s="98"/>
      <c r="F372" s="33" t="s">
        <v>54</v>
      </c>
      <c r="G372" s="33" t="s">
        <v>116</v>
      </c>
      <c r="H372" s="79" t="s">
        <v>61</v>
      </c>
      <c r="I372" s="79" t="s">
        <v>60</v>
      </c>
      <c r="J372" s="39" t="s">
        <v>46</v>
      </c>
      <c r="K372" s="34">
        <v>51.5</v>
      </c>
      <c r="L372" s="38" t="s">
        <v>84</v>
      </c>
      <c r="M372" s="35">
        <v>22.5</v>
      </c>
      <c r="N372" s="35" t="s">
        <v>84</v>
      </c>
      <c r="O372" s="36">
        <v>0.75</v>
      </c>
      <c r="P372" s="36"/>
      <c r="Q372" s="36"/>
      <c r="R372" s="36"/>
      <c r="S372" s="36"/>
      <c r="T372" s="36">
        <v>1</v>
      </c>
      <c r="U372" s="71">
        <v>1</v>
      </c>
      <c r="V372" s="203"/>
      <c r="W372" s="50">
        <v>8.046875</v>
      </c>
      <c r="X372" s="50">
        <v>8.046875</v>
      </c>
      <c r="Y372" s="81">
        <v>8.046875</v>
      </c>
      <c r="Z372" s="50">
        <v>8.046875</v>
      </c>
      <c r="AA372" s="50">
        <v>0.74757915000000008</v>
      </c>
      <c r="AB372" s="50">
        <v>0.74757915000000008</v>
      </c>
      <c r="AC372" s="64">
        <v>3.13</v>
      </c>
      <c r="AD372" s="64"/>
      <c r="AE372" s="64">
        <v>1</v>
      </c>
      <c r="AF372" s="64"/>
      <c r="AG372" s="44">
        <v>87.365837364749993</v>
      </c>
      <c r="AH372" s="44">
        <v>39.621694949999998</v>
      </c>
    </row>
    <row r="373" spans="1:34" ht="22.5" customHeight="1">
      <c r="A373" s="89">
        <v>321</v>
      </c>
      <c r="B373" s="104" t="s">
        <v>75</v>
      </c>
      <c r="C373" s="33" t="s">
        <v>65</v>
      </c>
      <c r="D373" s="98">
        <v>31</v>
      </c>
      <c r="E373" s="98"/>
      <c r="F373" s="33" t="s">
        <v>54</v>
      </c>
      <c r="G373" s="33" t="s">
        <v>116</v>
      </c>
      <c r="H373" s="79" t="s">
        <v>55</v>
      </c>
      <c r="I373" s="79" t="s">
        <v>60</v>
      </c>
      <c r="J373" s="39" t="s">
        <v>46</v>
      </c>
      <c r="K373" s="38">
        <v>51.5</v>
      </c>
      <c r="L373" s="80" t="s">
        <v>84</v>
      </c>
      <c r="M373" s="38">
        <v>3</v>
      </c>
      <c r="N373" s="35" t="s">
        <v>84</v>
      </c>
      <c r="O373" s="36">
        <v>0.75</v>
      </c>
      <c r="P373" s="36"/>
      <c r="Q373" s="36"/>
      <c r="R373" s="36"/>
      <c r="S373" s="36"/>
      <c r="T373" s="36">
        <v>1</v>
      </c>
      <c r="U373" s="71">
        <v>1</v>
      </c>
      <c r="V373" s="203"/>
      <c r="W373" s="50">
        <v>1.0729166666666667</v>
      </c>
      <c r="X373" s="50">
        <v>1.0729166666666667</v>
      </c>
      <c r="Y373" s="81">
        <v>1.0729166666666667</v>
      </c>
      <c r="Z373" s="50">
        <v>1.0729166666666667</v>
      </c>
      <c r="AA373" s="50">
        <v>9.9677220000000011E-2</v>
      </c>
      <c r="AB373" s="50">
        <v>9.9677220000000011E-2</v>
      </c>
      <c r="AC373" s="64">
        <v>3.13</v>
      </c>
      <c r="AD373" s="64"/>
      <c r="AE373" s="64"/>
      <c r="AF373" s="64"/>
      <c r="AG373" s="44">
        <v>11.648778315300001</v>
      </c>
      <c r="AH373" s="44">
        <v>5.2828926600000008</v>
      </c>
    </row>
    <row r="374" spans="1:34" ht="22.5" customHeight="1">
      <c r="A374" s="89">
        <v>322</v>
      </c>
      <c r="B374" s="105" t="s">
        <v>75</v>
      </c>
      <c r="C374" s="33" t="s">
        <v>65</v>
      </c>
      <c r="D374" s="98">
        <v>32</v>
      </c>
      <c r="E374" s="98"/>
      <c r="F374" s="33" t="s">
        <v>54</v>
      </c>
      <c r="G374" s="33" t="s">
        <v>116</v>
      </c>
      <c r="H374" s="79" t="s">
        <v>78</v>
      </c>
      <c r="I374" s="79" t="s">
        <v>78</v>
      </c>
      <c r="J374" s="39" t="s">
        <v>46</v>
      </c>
      <c r="K374" s="34">
        <v>41.5</v>
      </c>
      <c r="L374" s="35" t="s">
        <v>84</v>
      </c>
      <c r="M374" s="35">
        <v>8.75</v>
      </c>
      <c r="N374" s="35" t="s">
        <v>84</v>
      </c>
      <c r="O374" s="36">
        <v>0.75</v>
      </c>
      <c r="P374" s="36"/>
      <c r="Q374" s="36"/>
      <c r="R374" s="36"/>
      <c r="S374" s="36"/>
      <c r="T374" s="36">
        <v>1</v>
      </c>
      <c r="U374" s="71">
        <v>1</v>
      </c>
      <c r="V374" s="204"/>
      <c r="W374" s="50">
        <v>2.5217013888888888</v>
      </c>
      <c r="X374" s="50">
        <v>2.5217013888888888</v>
      </c>
      <c r="Y374" s="81">
        <v>2.5217013888888888</v>
      </c>
      <c r="Z374" s="50">
        <v>2.5217013888888888</v>
      </c>
      <c r="AA374" s="50">
        <v>0.23427372500000002</v>
      </c>
      <c r="AB374" s="50">
        <v>0.23427372500000002</v>
      </c>
      <c r="AC374" s="64">
        <v>3.13</v>
      </c>
      <c r="AD374" s="64"/>
      <c r="AE374" s="64"/>
      <c r="AF374" s="64"/>
      <c r="AG374" s="44">
        <v>27.378398872125004</v>
      </c>
      <c r="AH374" s="44">
        <v>12.416507425000001</v>
      </c>
    </row>
    <row r="375" spans="1:34" ht="22.5" customHeight="1">
      <c r="A375" s="123"/>
      <c r="B375" s="124"/>
      <c r="C375" s="125"/>
      <c r="D375" s="126"/>
      <c r="E375" s="126"/>
      <c r="F375" s="125"/>
      <c r="G375" s="125"/>
      <c r="H375" s="127"/>
      <c r="I375" s="127"/>
      <c r="J375" s="128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133">
        <f>SUBTOTAL(9,U342:U374)</f>
        <v>41</v>
      </c>
      <c r="V375" s="120"/>
      <c r="W375" s="129"/>
      <c r="X375" s="129"/>
      <c r="Y375" s="132"/>
      <c r="Z375" s="129"/>
      <c r="AA375" s="129"/>
      <c r="AB375" s="129"/>
      <c r="AC375" s="77"/>
      <c r="AD375" s="64"/>
      <c r="AE375" s="64"/>
      <c r="AF375" s="64"/>
      <c r="AG375" s="131">
        <f>SUBTOTAL(9,AG342:AG374)</f>
        <v>1874.3459208571123</v>
      </c>
      <c r="AH375" s="131">
        <f>SUBTOTAL(9,AH342:AH374)</f>
        <v>850.04350152250004</v>
      </c>
    </row>
    <row r="376" spans="1:34" s="157" customFormat="1" ht="30" customHeight="1">
      <c r="A376" s="207" t="s">
        <v>85</v>
      </c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134">
        <f>COUNT(V201:V374)</f>
        <v>17</v>
      </c>
      <c r="W376" s="136"/>
      <c r="X376" s="136">
        <f>SUM(X201:X375)</f>
        <v>3168.6451822916652</v>
      </c>
      <c r="Y376" s="158"/>
      <c r="Z376" s="136">
        <f>SUM(Z201:Z375)</f>
        <v>3126.4540624999986</v>
      </c>
      <c r="AA376" s="136"/>
      <c r="AB376" s="136">
        <f>SUM(AB201:AB375)</f>
        <v>294.3767701162497</v>
      </c>
      <c r="AC376" s="137"/>
      <c r="AD376" s="159"/>
      <c r="AE376" s="159"/>
      <c r="AF376" s="159"/>
      <c r="AG376" s="138">
        <f>SUBTOTAL(9,AG201:AG375)</f>
        <v>45313.211623647498</v>
      </c>
      <c r="AH376" s="138">
        <f>SUBTOTAL(9,AH201:AH375)</f>
        <v>20550.209353128146</v>
      </c>
    </row>
    <row r="377" spans="1:34" s="157" customFormat="1" ht="30" customHeight="1">
      <c r="A377" s="207" t="s">
        <v>89</v>
      </c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134">
        <f>V376+V199</f>
        <v>34</v>
      </c>
      <c r="W377" s="136"/>
      <c r="X377" s="138">
        <f>X376+X199</f>
        <v>6301.9499782986095</v>
      </c>
      <c r="Y377" s="135"/>
      <c r="Z377" s="138">
        <f>Z376+Z199</f>
        <v>6133.1423611111095</v>
      </c>
      <c r="AA377" s="135"/>
      <c r="AB377" s="138">
        <f>AB376+AB199</f>
        <v>585.47031091187444</v>
      </c>
      <c r="AC377" s="137"/>
      <c r="AD377" s="137"/>
      <c r="AE377" s="137"/>
      <c r="AF377" s="137"/>
      <c r="AG377" s="138">
        <f>AG376+AG199</f>
        <v>92669.396661566803</v>
      </c>
      <c r="AH377" s="138">
        <f>AH376+AH199</f>
        <v>42026.937261481595</v>
      </c>
    </row>
    <row r="378" spans="1:34">
      <c r="A378" s="140" t="s">
        <v>86</v>
      </c>
      <c r="B378" s="2"/>
      <c r="C378" s="2"/>
      <c r="D378" s="92"/>
      <c r="E378" s="9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55"/>
      <c r="Z378" s="55"/>
      <c r="AA378" s="55"/>
      <c r="AB378" s="55"/>
      <c r="AC378" s="70"/>
      <c r="AD378" s="70"/>
      <c r="AE378" s="70"/>
      <c r="AF378" s="70"/>
      <c r="AG378" s="2"/>
      <c r="AH378" s="2"/>
    </row>
    <row r="379" spans="1:34">
      <c r="A379" s="92"/>
      <c r="B379" s="2"/>
      <c r="C379" s="2"/>
      <c r="D379" s="92"/>
      <c r="E379" s="9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55"/>
      <c r="Z379" s="55"/>
      <c r="AA379" s="55"/>
      <c r="AB379" s="55"/>
      <c r="AC379" s="70"/>
      <c r="AD379" s="70"/>
      <c r="AE379" s="70"/>
      <c r="AF379" s="70"/>
      <c r="AG379" s="2"/>
      <c r="AH379" s="2"/>
    </row>
  </sheetData>
  <protectedRanges>
    <protectedRange password="E7A6" sqref="A6:A9 A12 H14:I14 J14:P16 J6:P9 A14:A16 H10:P13 B13:G16 A10:G11 H15 P129:S133 L68 J48 L48 J68 J96:J97 L96:L97 J205:J206 L205:L206 F144 C44:D47 N205:S206 P65:T67 P43:T47 G47:G48 P363:S365 T15:AE15 J247 L247 N247:S247 N78:AH78 N68:AH68 N48:T48 J269:J270 L269:L270 N269:S270 J359 B43:B47 C43:G43 N317:S317 L359 N158:AC158 E47:F47 L184 J158 L158 J184 L197:L198 Q6:S16 N197:AC198 J317 L317 E44:G46 N184:AC184 AD151:AH198 P181:AC183 J366 L366 N366:S366 P313:S316 P202:S204 L23 J23 N23:S23 L78 J78 J224 L224 B48:F48 P355:AC358 N359:AC359 T363:AH366 P134:AH149 P370:S372 J373 J338 L338 J150 L150 AD334:AH362 N188:AC188 P185:AC187 P360:AC362 P334:AC337 N338:AC338 L373 P18:S22 P242:S246 P264:S268 N373:S373 P367:AH369 T370:AH373 AG15:AH15 B19:G42 F148 E133 D147 T6:AF14 N96:AH97 N150:AH150 P221:AH223 P93:AH95 N224:AH224 L29 J29 N29:S29 P24:S28 L35:L36 J35:J36 N35:S36 P30:S34 T16:AH16 L42 J42 N42:S42 P37:S41 J53 L53 C50:D52 P49:T52 G52:G53 N53:T53 B49:B52 C49:G49 E52:F52 E50:G51 B53:F53 J59 L59 C55:D58 P54:T58 G58:G59 N59:T59 B54:B58 C54:G54 E58:F58 E55:G57 B59:F59 J64 L64 C61:D63 P60:T63 G63:G68 N64:T64 B60:B63 C60:G60 E63:F63 E61:G62 B64:F68 U43:AH67 L73 J73 N73:AH73 P69:AH72 N82:AH82 L82 J82 P79:AH81 N88:AH88 L88 J88 N92:AH92 L92 J92 P89:AH91 P74:AH77 P83:AH87 J102 L102 N102:AH102 P98:AH101 J107 L107 N107:AH107 P103:AH106 J201 L201 N201:AH201 T242:AH284 J211 L211 N211:S211 P207:S210 J215:J216 L215:L216 N215:S216 P212:S214 J220 L220 N220:S220 P217:S219 T202:AH220 J229 L229 P225:AH228 N229:AH229 J233 L233 P230:AH232 N233:AH233 J237 L237 P234:AH236 N237:AH237 J241 L241 P238:AH240 N241:AH241 J252 L252 N252:S252 P248:S251 J258 L258 N258:S258 P253:S257 J263 L263 N263:S263 P259:S262 B129:F132 J280:J281 L280:L281 N280:S281 P271:S279 J115 L115 N115:S115 P112:S114 J121 L121 N121:S121 P116:S120 J128 L128 N128:S128 P122:S127 T112:AH133 E138 B134:F137 E143:E144 B139:F142 G129:G144 E147:E148 G147:G148 E145:G146 E149:G149 N165:AC165 J165 L165 N173:AC173 J173 L173 N180:AC180 J180 L180 P151:AC157 P159:AC164 P166:AC172 P174:AC179 L188 J188 T313:AC317 J293 L293 N293:AC293 J303 L303 N303:AC303 J312 L312 N312:AC312 P189:AC196 P285:AC292 P294:AC302 P304:AC311 N322:S322 J322 L322 P318:S321 N328:S328 J328 L328 P323:S327 N333:S333 J333 L333 P329:S332 J344 L344 P339:AC343 N344:AC344 J349 L349 P345:AC348 N349:AC349 J354 L354 P350:AC353 N354:AC354 AD285:AH317 B69:G128 P108:AH111 B150:G375 A19:A375 J197:J198 T318:AH333 P282:S284 P199:AH200 A376:G377 P374:AH377 T18:AH42 A17:G18 P17:AH17" name="区域1"/>
    <protectedRange password="E7A6" sqref="F9:I9" name="区域1_1_1"/>
    <protectedRange password="E7A6" sqref="F7:I8" name="区域1_1_1_1_2_1"/>
    <protectedRange password="E7A6" sqref="K65:O67 K181:O183 K189:O196 K339:O343 K313:O316 K334:O337 K129:O132 K242:O246 K360:O365 K202:O204 K43:O47 K93:O95 K221:O223 K264:O268 K151:O157 K345:O348 K350:O353 K355:O358 K367:O372 K24:O28 K30:O34 K37:O41 K49:O52 K54:O58 K60:O63 K69:O72 K79:O81 K89:O91 K74:O77 K83:O87 K98:O101 K103:O106 K199:O200 K207:O210 K212:O214 K217:O219 K225:O228 K230:O232 K234:O236 K238:O240 K248:O251 K253:O257 K259:O262 K271:O279 K116:O120 K122:O127 K134:O137 K139:O142 O144:O146 K159:O164 K166:O172 K174:O179 K185:O187 K294:O302 K304:O311 K318:O321 K329:O332 K108:O114 K323:O327 K282:O292 K374:O377 K17:O22" name="区域1_2"/>
    <protectedRange password="E7A6" sqref="H350:H352 H202:H204 H181:H183 H189:H191 H353:I353 H193:H195 H192:I192 H196:I196 H313:H315 H93:H95 H65:H67 H221:H223 H264:H268 H334:H336 H316:I316 H129:H132 H242:H246 H360:H365 H355:H357 H43:H47 H337:I337 H358:I358 H151:H157 H367:H372 H24:H28 H30:H34 H37:H41 H49:H52 H54:H58 H60:H63 H69:H72 H79:H81 H89:H91 H74:H77 H83:H87 H98:H101 H103:H106 H199:H200 H207:H210 H212:H214 H217:H219 H225:H228 H230:H232 H234:H236 H238:H240 H248:H251 H253:H257 H259:H262 H271:H279 H116:H120 H122:H127 H134:H137 H139:H142 H159:H164 H166:H172 H174:H179 H185:H187 H289:H291 H288:I288 H292:I292 H294:H296 H298:H301 H297:I297 H302:I302 H304:H306 H308:H310 H307:I307 H311:I311 H318:H320 H321:I321 H323:H326 H327:I327 H329:H331 H332:I332 H339:H342 H343:I343 H345:H347 H348:I348 H108:H114 H282:H287 H374:H377 H17:H22" name="区域1_2_1_1"/>
    <protectedRange password="E7A6" sqref="J181:J183 J65:J67 J221:J223 J93:J95 J202:J204 J151:J157 J189:J196 J264:J268 J129:J132 J313:J316 J367:J372 J360:J365 J242:J246 J43:J47 J334:J337 J24:J28 J30:J34 J37:J41 J49:J52 J54:J58 J60:J63 J69:J72 J79:J81 J89:J91 J74:J77 J83:J87 J98:J101 J103:J106 J199:J200 J207:J210 J212:J214 J217:J219 J225:J228 J230:J232 J234:J236 J238:J240 J248:J251 J253:J257 J259:J262 J271:J279 J116:J120 J122:J127 J134:J137 J139:J142 J159:J164 J166:J172 J174:J179 J185:J187 J294:J302 J304:J311 J318:J321 J329:J332 J339:J343 J345:J348 J350:J353 J355:J358 J108:J114 J323:J327 J282:J292 J374:J377 J17:J22" name="区域1_4_1"/>
    <protectedRange password="E7A6" sqref="I242:I246 I345:I347 I65:I67 I202:I204 I221:I223 I129:I132 I350:I352 I334:I336 I355:I357 I93:I95 I367:I372 I264:I268 I43:I47 I151:I157 I181:I183 I189:I191 I193:I195 I313:I315 I360:I365 I24:I28 I30:I34 I37:I41 I49:I52 I54:I58 I60:I63 I69:I72 I79:I81 I89:I91 I74:I77 I83:I87 I98:I101 I103:I106 I199:I200 I207:I210 I212:I214 I217:I219 I225:I228 I230:I232 I234:I236 I238:I240 I248:I251 I253:I257 I259:I262 I271:I279 I116:I120 I122:I127 I134:I137 I139:I142 I159:I164 I166:I172 I174:I179 I185:I187 I289:I291 I294:I296 I298:I301 I304:I306 I308:I310 I318:I320 I323:I326 I329:I331 I339:I342 I108:I114 I282:I287 I374:I377 I17:I22" name="区域1_2_1_1_1_1"/>
    <protectedRange password="E7A6" sqref="I15" name="区域1_3"/>
    <protectedRange password="E7A6" sqref="AF15" name="区域1_5"/>
    <protectedRange password="E7A6" sqref="J147 L147 N147:O147 B133:D133 F147 B147:C147 J138 L138 N138:O138 F138 J133 L133 N133:O133 F133 B138:D138 J143 L143 N143:O143 F143 B143:D146 B148:D149" name="区域1_6"/>
    <protectedRange password="E7A6" sqref="K144:L146 N144:N146" name="区域1_2_2"/>
    <protectedRange password="E7A6" sqref="H144:H146 H148:H149" name="区域1_2_1_1_3"/>
    <protectedRange password="E7A6" sqref="J148:J149 J144:J146" name="区域1_4_1_2"/>
    <protectedRange password="E7A6" sqref="I144:I146 I148:I149" name="区域1_2_1_1_1_1_1"/>
    <protectedRange password="E7A6" sqref="E7:E9" name="区域1_1"/>
    <protectedRange password="E7A6" sqref="D7:D9" name="区域1_1_3"/>
    <protectedRange password="E7A6" sqref="B9:C9" name="区域1_1_1_1"/>
    <protectedRange password="E7A6" sqref="B7:C8" name="区域1_1_1_1_2_1_1"/>
    <protectedRange password="E7A6" sqref="M144:M146" name="区域1_2_2_1_1"/>
    <protectedRange password="E7A6" sqref="O148:O149" name="区域1_2_1"/>
    <protectedRange password="E7A6" sqref="K148:N149" name="区域1_2_2_2"/>
    <protectedRange password="E7A6" sqref="AG14:AH14 AG6:AG12 AH6:AH11" name="区域1_4"/>
  </protectedRanges>
  <mergeCells count="42">
    <mergeCell ref="V342:V374"/>
    <mergeCell ref="A377:U377"/>
    <mergeCell ref="A199:U199"/>
    <mergeCell ref="A200:AH200"/>
    <mergeCell ref="A376:U376"/>
    <mergeCell ref="V300:V325"/>
    <mergeCell ref="V327:V340"/>
    <mergeCell ref="V217:V227"/>
    <mergeCell ref="V285:V298"/>
    <mergeCell ref="V229:V243"/>
    <mergeCell ref="V245:V254"/>
    <mergeCell ref="V256:V269"/>
    <mergeCell ref="V275:V276"/>
    <mergeCell ref="V282:V283"/>
    <mergeCell ref="V211:V215"/>
    <mergeCell ref="V112:V125"/>
    <mergeCell ref="V102:V105"/>
    <mergeCell ref="V107:V110"/>
    <mergeCell ref="V201:V205"/>
    <mergeCell ref="V207:V209"/>
    <mergeCell ref="V127:V152"/>
    <mergeCell ref="V154:V170"/>
    <mergeCell ref="V172:V197"/>
    <mergeCell ref="V98:V100"/>
    <mergeCell ref="A16:AH16"/>
    <mergeCell ref="V18:V20"/>
    <mergeCell ref="V22:V25"/>
    <mergeCell ref="V27:V30"/>
    <mergeCell ref="V32:V35"/>
    <mergeCell ref="V37:V39"/>
    <mergeCell ref="V41:V44"/>
    <mergeCell ref="V46:V56"/>
    <mergeCell ref="V58:V69"/>
    <mergeCell ref="V71:V83"/>
    <mergeCell ref="V85:V96"/>
    <mergeCell ref="A17:AH17"/>
    <mergeCell ref="A1:AH1"/>
    <mergeCell ref="A2:AH2"/>
    <mergeCell ref="A3:AH3"/>
    <mergeCell ref="A5:AH5"/>
    <mergeCell ref="W14:X14"/>
    <mergeCell ref="Y14:Z14"/>
  </mergeCells>
  <phoneticPr fontId="2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0" fitToHeight="0" orientation="portrait" horizontalDpi="4294967293" r:id="rId1"/>
  <headerFooter alignWithMargins="0">
    <oddFooter xml:space="preserve">&amp;C &amp;P / &amp;N </oddFooter>
  </headerFooter>
  <rowBreaks count="3" manualBreakCount="3">
    <brk id="111" max="16383" man="1"/>
    <brk id="228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INVOICE</vt:lpstr>
      <vt:lpstr>PACKING LIST </vt:lpstr>
      <vt:lpstr>INVOICE!Print_Titles</vt:lpstr>
      <vt:lpstr>'PACKING LIST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2011-09-09T03:13:12Z</cp:lastPrinted>
  <dcterms:created xsi:type="dcterms:W3CDTF">1996-12-17T01:32:42Z</dcterms:created>
  <dcterms:modified xsi:type="dcterms:W3CDTF">2021-03-15T01:48:47Z</dcterms:modified>
</cp:coreProperties>
</file>