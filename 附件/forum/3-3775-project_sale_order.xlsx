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D:\Odoo\OSCGODOO16\myaddons\base_server_action_params\static\description\"/>
    </mc:Choice>
  </mc:AlternateContent>
  <xr:revisionPtr revIDLastSave="0" documentId="13_ncr:1_{A4349F3F-E9AE-4ED0-8448-17C641919AD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未发" sheetId="28" r:id="rId1"/>
  </sheets>
  <calcPr calcId="191029"/>
</workbook>
</file>

<file path=xl/calcChain.xml><?xml version="1.0" encoding="utf-8"?>
<calcChain xmlns="http://schemas.openxmlformats.org/spreadsheetml/2006/main">
  <c r="E164" i="28" l="1"/>
  <c r="T163" i="28"/>
  <c r="U163" i="28" s="1"/>
  <c r="G163" i="28"/>
  <c r="W163" i="28" s="1"/>
  <c r="W162" i="28"/>
  <c r="T162" i="28"/>
  <c r="U162" i="28" s="1"/>
  <c r="G162" i="28"/>
  <c r="T161" i="28"/>
  <c r="G161" i="28"/>
  <c r="W161" i="28" s="1"/>
  <c r="U160" i="28"/>
  <c r="T160" i="28"/>
  <c r="G160" i="28"/>
  <c r="W160" i="28" s="1"/>
  <c r="W159" i="28"/>
  <c r="T159" i="28"/>
  <c r="U159" i="28" s="1"/>
  <c r="G159" i="28"/>
  <c r="W158" i="28"/>
  <c r="T158" i="28"/>
  <c r="U158" i="28" s="1"/>
  <c r="G158" i="28"/>
  <c r="W157" i="28"/>
  <c r="T157" i="28"/>
  <c r="U157" i="28" s="1"/>
  <c r="G157" i="28"/>
  <c r="T156" i="28"/>
  <c r="U156" i="28" s="1"/>
  <c r="G156" i="28"/>
  <c r="W156" i="28" s="1"/>
  <c r="T155" i="28"/>
  <c r="U155" i="28" s="1"/>
  <c r="G155" i="28"/>
  <c r="W155" i="28" s="1"/>
  <c r="T154" i="28"/>
  <c r="U154" i="28" s="1"/>
  <c r="G154" i="28"/>
  <c r="W154" i="28" s="1"/>
  <c r="W153" i="28"/>
  <c r="T153" i="28"/>
  <c r="G153" i="28"/>
  <c r="W152" i="28"/>
  <c r="T152" i="28"/>
  <c r="U152" i="28" s="1"/>
  <c r="G152" i="28"/>
  <c r="W151" i="28"/>
  <c r="T151" i="28"/>
  <c r="U151" i="28" s="1"/>
  <c r="G151" i="28"/>
  <c r="W150" i="28"/>
  <c r="U150" i="28"/>
  <c r="T150" i="28"/>
  <c r="G150" i="28"/>
  <c r="T149" i="28"/>
  <c r="G149" i="28"/>
  <c r="W149" i="28" s="1"/>
  <c r="U148" i="28"/>
  <c r="T148" i="28"/>
  <c r="G148" i="28"/>
  <c r="W148" i="28" s="1"/>
  <c r="T147" i="28"/>
  <c r="G147" i="28"/>
  <c r="E135" i="28"/>
  <c r="U134" i="28"/>
  <c r="T134" i="28"/>
  <c r="G134" i="28"/>
  <c r="W134" i="28" s="1"/>
  <c r="T133" i="28"/>
  <c r="G133" i="28"/>
  <c r="U133" i="28" s="1"/>
  <c r="W132" i="28"/>
  <c r="T132" i="28"/>
  <c r="U132" i="28" s="1"/>
  <c r="G132" i="28"/>
  <c r="T131" i="28"/>
  <c r="G131" i="28"/>
  <c r="U131" i="28" s="1"/>
  <c r="T130" i="28"/>
  <c r="G130" i="28"/>
  <c r="W130" i="28" s="1"/>
  <c r="T129" i="28"/>
  <c r="G129" i="28"/>
  <c r="U129" i="28" s="1"/>
  <c r="T128" i="28"/>
  <c r="U128" i="28" s="1"/>
  <c r="G128" i="28"/>
  <c r="W128" i="28" s="1"/>
  <c r="T127" i="28"/>
  <c r="G127" i="28"/>
  <c r="U127" i="28" s="1"/>
  <c r="T126" i="28"/>
  <c r="U126" i="28" s="1"/>
  <c r="G126" i="28"/>
  <c r="W126" i="28" s="1"/>
  <c r="W125" i="28"/>
  <c r="T125" i="28"/>
  <c r="G125" i="28"/>
  <c r="T124" i="28"/>
  <c r="G124" i="28"/>
  <c r="W124" i="28" s="1"/>
  <c r="W123" i="28"/>
  <c r="T123" i="28"/>
  <c r="G123" i="28"/>
  <c r="U123" i="28" s="1"/>
  <c r="T122" i="28"/>
  <c r="G122" i="28"/>
  <c r="W122" i="28" s="1"/>
  <c r="T121" i="28"/>
  <c r="G121" i="28"/>
  <c r="T120" i="28"/>
  <c r="G120" i="28"/>
  <c r="W120" i="28" s="1"/>
  <c r="T119" i="28"/>
  <c r="G119" i="28"/>
  <c r="T118" i="28"/>
  <c r="G118" i="28"/>
  <c r="W118" i="28" s="1"/>
  <c r="W117" i="28"/>
  <c r="T117" i="28"/>
  <c r="G117" i="28"/>
  <c r="W116" i="28"/>
  <c r="U116" i="28"/>
  <c r="T116" i="28"/>
  <c r="G116" i="28"/>
  <c r="T115" i="28"/>
  <c r="G115" i="28"/>
  <c r="U115" i="28" s="1"/>
  <c r="W114" i="28"/>
  <c r="T114" i="28"/>
  <c r="G114" i="28"/>
  <c r="T113" i="28"/>
  <c r="G113" i="28"/>
  <c r="T112" i="28"/>
  <c r="G112" i="28"/>
  <c r="W112" i="28" s="1"/>
  <c r="T111" i="28"/>
  <c r="G111" i="28"/>
  <c r="U111" i="28" s="1"/>
  <c r="T110" i="28"/>
  <c r="U110" i="28" s="1"/>
  <c r="G110" i="28"/>
  <c r="W110" i="28" s="1"/>
  <c r="T109" i="28"/>
  <c r="G109" i="28"/>
  <c r="U109" i="28" s="1"/>
  <c r="W108" i="28"/>
  <c r="T108" i="28"/>
  <c r="U108" i="28" s="1"/>
  <c r="G108" i="28"/>
  <c r="W107" i="28"/>
  <c r="T107" i="28"/>
  <c r="G107" i="28"/>
  <c r="T106" i="28"/>
  <c r="G106" i="28"/>
  <c r="W106" i="28" s="1"/>
  <c r="T105" i="28"/>
  <c r="G105" i="28"/>
  <c r="T104" i="28"/>
  <c r="G104" i="28"/>
  <c r="W104" i="28" s="1"/>
  <c r="W91" i="28"/>
  <c r="T91" i="28"/>
  <c r="U91" i="28" s="1"/>
  <c r="W90" i="28"/>
  <c r="T90" i="28"/>
  <c r="U90" i="28" s="1"/>
  <c r="X90" i="28" s="1"/>
  <c r="W77" i="28"/>
  <c r="T77" i="28"/>
  <c r="U77" i="28" s="1"/>
  <c r="X76" i="28"/>
  <c r="W76" i="28"/>
  <c r="U76" i="28"/>
  <c r="T76" i="28"/>
  <c r="L64" i="28"/>
  <c r="U64" i="28" s="1"/>
  <c r="E64" i="28"/>
  <c r="T63" i="28"/>
  <c r="G63" i="28"/>
  <c r="T62" i="28"/>
  <c r="U62" i="28" s="1"/>
  <c r="G62" i="28"/>
  <c r="W62" i="28" s="1"/>
  <c r="T61" i="28"/>
  <c r="G61" i="28"/>
  <c r="W61" i="28" s="1"/>
  <c r="T60" i="28"/>
  <c r="G60" i="28"/>
  <c r="W60" i="28" s="1"/>
  <c r="T59" i="28"/>
  <c r="G59" i="28"/>
  <c r="W59" i="28" s="1"/>
  <c r="W58" i="28"/>
  <c r="T58" i="28"/>
  <c r="U58" i="28" s="1"/>
  <c r="G58" i="28"/>
  <c r="T57" i="28"/>
  <c r="G57" i="28"/>
  <c r="W57" i="28" s="1"/>
  <c r="W56" i="28"/>
  <c r="T56" i="28"/>
  <c r="U56" i="28" s="1"/>
  <c r="G56" i="28"/>
  <c r="T55" i="28"/>
  <c r="U55" i="28" s="1"/>
  <c r="G55" i="28"/>
  <c r="W55" i="28" s="1"/>
  <c r="T54" i="28"/>
  <c r="G54" i="28"/>
  <c r="W54" i="28" s="1"/>
  <c r="T53" i="28"/>
  <c r="G53" i="28"/>
  <c r="W53" i="28" s="1"/>
  <c r="W52" i="28"/>
  <c r="T52" i="28"/>
  <c r="U52" i="28" s="1"/>
  <c r="G52" i="28"/>
  <c r="T51" i="28"/>
  <c r="G51" i="28"/>
  <c r="W51" i="28" s="1"/>
  <c r="W50" i="28"/>
  <c r="T50" i="28"/>
  <c r="U50" i="28" s="1"/>
  <c r="G50" i="28"/>
  <c r="T49" i="28"/>
  <c r="U49" i="28" s="1"/>
  <c r="G49" i="28"/>
  <c r="W49" i="28" s="1"/>
  <c r="T48" i="28"/>
  <c r="U48" i="28" s="1"/>
  <c r="G48" i="28"/>
  <c r="W48" i="28" s="1"/>
  <c r="T47" i="28"/>
  <c r="U47" i="28" s="1"/>
  <c r="G47" i="28"/>
  <c r="W47" i="28" s="1"/>
  <c r="T46" i="28"/>
  <c r="U46" i="28" s="1"/>
  <c r="G46" i="28"/>
  <c r="W46" i="28" s="1"/>
  <c r="T45" i="28"/>
  <c r="G45" i="28"/>
  <c r="W45" i="28" s="1"/>
  <c r="T44" i="28"/>
  <c r="G44" i="28"/>
  <c r="W44" i="28" s="1"/>
  <c r="T43" i="28"/>
  <c r="G43" i="28"/>
  <c r="W43" i="28" s="1"/>
  <c r="W42" i="28"/>
  <c r="T42" i="28"/>
  <c r="G42" i="28"/>
  <c r="T41" i="28"/>
  <c r="G41" i="28"/>
  <c r="W41" i="28" s="1"/>
  <c r="W40" i="28"/>
  <c r="T40" i="28"/>
  <c r="U40" i="28" s="1"/>
  <c r="G40" i="28"/>
  <c r="T39" i="28"/>
  <c r="U39" i="28" s="1"/>
  <c r="G39" i="28"/>
  <c r="W39" i="28" s="1"/>
  <c r="T38" i="28"/>
  <c r="G38" i="28"/>
  <c r="W38" i="28" s="1"/>
  <c r="T37" i="28"/>
  <c r="G37" i="28"/>
  <c r="W37" i="28" s="1"/>
  <c r="W36" i="28"/>
  <c r="T36" i="28"/>
  <c r="U36" i="28" s="1"/>
  <c r="G36" i="28"/>
  <c r="T35" i="28"/>
  <c r="G35" i="28"/>
  <c r="W35" i="28" s="1"/>
  <c r="W34" i="28"/>
  <c r="T34" i="28"/>
  <c r="U34" i="28" s="1"/>
  <c r="G34" i="28"/>
  <c r="T33" i="28"/>
  <c r="U33" i="28" s="1"/>
  <c r="G33" i="28"/>
  <c r="W33" i="28" s="1"/>
  <c r="T32" i="28"/>
  <c r="U32" i="28" s="1"/>
  <c r="G32" i="28"/>
  <c r="W32" i="28" s="1"/>
  <c r="T31" i="28"/>
  <c r="G31" i="28"/>
  <c r="W31" i="28" s="1"/>
  <c r="T30" i="28"/>
  <c r="G30" i="28"/>
  <c r="W30" i="28" s="1"/>
  <c r="T29" i="28"/>
  <c r="G29" i="28"/>
  <c r="W29" i="28" s="1"/>
  <c r="T28" i="28"/>
  <c r="G28" i="28"/>
  <c r="W28" i="28" s="1"/>
  <c r="T27" i="28"/>
  <c r="G27" i="28"/>
  <c r="W27" i="28" s="1"/>
  <c r="T26" i="28"/>
  <c r="U26" i="28" s="1"/>
  <c r="G26" i="28"/>
  <c r="W26" i="28" s="1"/>
  <c r="T25" i="28"/>
  <c r="U25" i="28" s="1"/>
  <c r="G25" i="28"/>
  <c r="W25" i="28" s="1"/>
  <c r="T24" i="28"/>
  <c r="U24" i="28" s="1"/>
  <c r="G24" i="28"/>
  <c r="W24" i="28" s="1"/>
  <c r="T23" i="28"/>
  <c r="G23" i="28"/>
  <c r="W23" i="28" s="1"/>
  <c r="T22" i="28"/>
  <c r="U22" i="28" s="1"/>
  <c r="G22" i="28"/>
  <c r="W22" i="28" s="1"/>
  <c r="T21" i="28"/>
  <c r="G21" i="28"/>
  <c r="W21" i="28" s="1"/>
  <c r="W20" i="28"/>
  <c r="T20" i="28"/>
  <c r="U20" i="28" s="1"/>
  <c r="G20" i="28"/>
  <c r="T7" i="28"/>
  <c r="U7" i="28" s="1"/>
  <c r="V7" i="28" s="1"/>
  <c r="U119" i="28" l="1"/>
  <c r="G64" i="28"/>
  <c r="U23" i="28"/>
  <c r="U30" i="28"/>
  <c r="U63" i="28"/>
  <c r="U104" i="28"/>
  <c r="U114" i="28"/>
  <c r="U117" i="28"/>
  <c r="W119" i="28"/>
  <c r="U153" i="28"/>
  <c r="U149" i="28"/>
  <c r="U28" i="28"/>
  <c r="U38" i="28"/>
  <c r="U41" i="28"/>
  <c r="U54" i="28"/>
  <c r="U57" i="28"/>
  <c r="U124" i="28"/>
  <c r="U147" i="28"/>
  <c r="U31" i="28"/>
  <c r="U44" i="28"/>
  <c r="U60" i="28"/>
  <c r="G164" i="28"/>
  <c r="X91" i="28"/>
  <c r="X93" i="28" s="1"/>
  <c r="U118" i="28"/>
  <c r="W133" i="28"/>
  <c r="W147" i="28"/>
  <c r="U161" i="28"/>
  <c r="U120" i="28"/>
  <c r="U130" i="28"/>
  <c r="U42" i="28"/>
  <c r="U107" i="28"/>
  <c r="W109" i="28"/>
  <c r="U113" i="28"/>
  <c r="U125" i="28"/>
  <c r="U105" i="28"/>
  <c r="W105" i="28"/>
  <c r="U121" i="28"/>
  <c r="W121" i="28"/>
  <c r="X162" i="28"/>
  <c r="U112" i="28"/>
  <c r="X163" i="28"/>
  <c r="U27" i="28"/>
  <c r="U35" i="28"/>
  <c r="U43" i="28"/>
  <c r="U51" i="28"/>
  <c r="U59" i="28"/>
  <c r="G135" i="28"/>
  <c r="U106" i="28"/>
  <c r="W115" i="28"/>
  <c r="U122" i="28"/>
  <c r="W131" i="28"/>
  <c r="W113" i="28"/>
  <c r="W129" i="28"/>
  <c r="U21" i="28"/>
  <c r="X62" i="28" s="1"/>
  <c r="X64" i="28" s="1"/>
  <c r="U29" i="28"/>
  <c r="U37" i="28"/>
  <c r="U45" i="28"/>
  <c r="U53" i="28"/>
  <c r="U61" i="28"/>
  <c r="W63" i="28"/>
  <c r="X63" i="28" s="1"/>
  <c r="X77" i="28"/>
  <c r="X79" i="28" s="1"/>
  <c r="W111" i="28"/>
  <c r="W168" i="28" s="1"/>
  <c r="W127" i="28"/>
  <c r="X134" i="28" l="1"/>
  <c r="X133" i="28"/>
  <c r="X135" i="28" s="1"/>
  <c r="X164" i="28"/>
  <c r="X169" i="28" s="1"/>
  <c r="U168" i="28"/>
  <c r="W169" i="28" s="1"/>
</calcChain>
</file>

<file path=xl/sharedStrings.xml><?xml version="1.0" encoding="utf-8"?>
<sst xmlns="http://schemas.openxmlformats.org/spreadsheetml/2006/main" count="806" uniqueCount="180">
  <si>
    <t xml:space="preserve">       </t>
  </si>
  <si>
    <t xml:space="preserve"> </t>
  </si>
  <si>
    <t>工程项目:</t>
  </si>
  <si>
    <t>批次：</t>
  </si>
  <si>
    <t>厚度</t>
  </si>
  <si>
    <t>发货日期：</t>
  </si>
  <si>
    <t>特殊说明</t>
  </si>
  <si>
    <t>颜色（色号）：</t>
  </si>
  <si>
    <t>序号</t>
  </si>
  <si>
    <t>产品编号</t>
  </si>
  <si>
    <t>尺寸</t>
  </si>
  <si>
    <t>数量
(件)</t>
  </si>
  <si>
    <t>单件面积
 (M2)</t>
  </si>
  <si>
    <t>合计面积
(M2)</t>
  </si>
  <si>
    <t>来单日期：</t>
  </si>
  <si>
    <t>提料单号：</t>
  </si>
  <si>
    <t>长度mm</t>
  </si>
  <si>
    <t>宽度mm</t>
  </si>
  <si>
    <t>颜  色</t>
  </si>
  <si>
    <t>板厚(mm)</t>
  </si>
  <si>
    <t>板 型</t>
  </si>
  <si>
    <t>刀数</t>
  </si>
  <si>
    <t>焊缝/m</t>
  </si>
  <si>
    <t>刨槽/m</t>
  </si>
  <si>
    <t>超宽/m</t>
  </si>
  <si>
    <t>超长/m</t>
  </si>
  <si>
    <t>型材规格</t>
  </si>
  <si>
    <t>型材长度（M)</t>
  </si>
  <si>
    <t>页码</t>
  </si>
  <si>
    <t>备注</t>
  </si>
  <si>
    <t>单价</t>
  </si>
  <si>
    <t>金额</t>
  </si>
  <si>
    <t>铝锭</t>
  </si>
  <si>
    <t>平板</t>
  </si>
  <si>
    <t>合计</t>
  </si>
  <si>
    <t>焊缝13</t>
  </si>
  <si>
    <t>友情提示：请在收到本发货单时当场验清货物数量；铝板外观是否完好无损。</t>
  </si>
  <si>
    <t xml:space="preserve">          如有异议，请在三日内提出书面说明，否则以此发货单为准。</t>
  </si>
  <si>
    <t>小计</t>
  </si>
  <si>
    <t>合计金额</t>
  </si>
  <si>
    <t xml:space="preserve">发货人签字:                                          收货人签字: </t>
  </si>
  <si>
    <t xml:space="preserve">发货人电话:                                          收货人电话: </t>
  </si>
  <si>
    <t>异形</t>
  </si>
  <si>
    <t>仿深灰色石材</t>
  </si>
  <si>
    <t/>
  </si>
  <si>
    <t>西北旺X2地块-亦峰建筑</t>
  </si>
  <si>
    <t>小于0.3按照0.3算</t>
  </si>
  <si>
    <t>小于0.6按照展开图</t>
  </si>
  <si>
    <t>3.0mm  三系</t>
  </si>
  <si>
    <t>转角板</t>
  </si>
  <si>
    <t>C6东（层间） 仿石-40</t>
  </si>
  <si>
    <t>3.0mm 三系</t>
  </si>
  <si>
    <t>仿深灰色石材 N5812—0218G</t>
  </si>
  <si>
    <t>3系3.0mm</t>
  </si>
  <si>
    <t>17-1批</t>
  </si>
  <si>
    <t>闪中米色ECD3S03442S</t>
  </si>
  <si>
    <t>2023/7/28 8:33:00 18350</t>
  </si>
  <si>
    <t>地下庭院</t>
  </si>
  <si>
    <t>闪中米色</t>
  </si>
  <si>
    <t>3系3.0</t>
  </si>
  <si>
    <t>地下庭院-檐口下部-05</t>
  </si>
  <si>
    <t>弧焊板</t>
  </si>
  <si>
    <t>50*47*3背筋平板</t>
  </si>
  <si>
    <t>发货按颜色分车</t>
  </si>
  <si>
    <t>19-1批</t>
  </si>
  <si>
    <t>闪中米色  ECD3S03442S</t>
  </si>
  <si>
    <t>50*47*3背筋异形</t>
  </si>
  <si>
    <t>50*47*3背筋不规则平板</t>
  </si>
  <si>
    <t>不规则平板</t>
  </si>
  <si>
    <t>50*47*3背筋弧焊板</t>
  </si>
  <si>
    <t>地下庭院-圆柱-02</t>
  </si>
  <si>
    <t>20-2批</t>
  </si>
  <si>
    <t>咖啡色 （仿木纹）EC-TJ-M38721</t>
  </si>
  <si>
    <t>14西北旺C6#外挂楼梯铝板加工图2023.08.18</t>
  </si>
  <si>
    <t>咖啡色（仿木纹）</t>
  </si>
  <si>
    <t>C6东楼梯内侧-4层、5层-02</t>
  </si>
  <si>
    <t>2023-08-17 22:08</t>
  </si>
  <si>
    <t>地下庭院-立板-06-10</t>
  </si>
  <si>
    <t>地下庭院-立板-06-4</t>
  </si>
  <si>
    <t>地下庭院-立板-06-3</t>
  </si>
  <si>
    <t>地下庭院-檐口下部-05A</t>
  </si>
  <si>
    <t>地下庭院-檐口下部-05-16</t>
  </si>
  <si>
    <t>地下庭院-吊顶-20</t>
  </si>
  <si>
    <t>地下庭院-吊顶-25</t>
  </si>
  <si>
    <t>地下庭院-吊顶-30</t>
  </si>
  <si>
    <t>地下庭院-吊顶-29</t>
  </si>
  <si>
    <t>地下庭院-吊顶-32</t>
  </si>
  <si>
    <t>地下庭院-吊顶-35</t>
  </si>
  <si>
    <t>地下庭院-吊顶-36</t>
  </si>
  <si>
    <t>地下庭院-吊顶-43</t>
  </si>
  <si>
    <t>地下庭院-吊顶-44</t>
  </si>
  <si>
    <t>地下庭院-吊顶-45</t>
  </si>
  <si>
    <t>地下庭院-吊顶-46</t>
  </si>
  <si>
    <t>地下庭院-吊顶-48</t>
  </si>
  <si>
    <t>地下庭院-吊顶-50</t>
  </si>
  <si>
    <t>地下庭院-吊顶-51</t>
  </si>
  <si>
    <t>地下庭院-吊顶-52</t>
  </si>
  <si>
    <t>地下庭院-吊顶-53</t>
  </si>
  <si>
    <t>地下庭院-吊顶-60</t>
  </si>
  <si>
    <t>地下庭院-吊顶-37</t>
  </si>
  <si>
    <t>地下庭院-吊顶-55</t>
  </si>
  <si>
    <t>地下庭院-吊顶-56</t>
  </si>
  <si>
    <t>地下庭院-吊顶-58</t>
  </si>
  <si>
    <t>地下庭院-吊顶-59</t>
  </si>
  <si>
    <t>地下庭院-吊顶-27</t>
  </si>
  <si>
    <t>地下庭院-檐口下部-05-5</t>
  </si>
  <si>
    <t>地下庭院-檐口下部-05-8</t>
  </si>
  <si>
    <t>地下庭院-檐口下部-05-7</t>
  </si>
  <si>
    <t>地下庭院-立板-06-5</t>
  </si>
  <si>
    <t>地下庭院-立板-06-7</t>
  </si>
  <si>
    <t>地下庭院-立板-06-8</t>
  </si>
  <si>
    <t>地下庭院-立板-06-11</t>
  </si>
  <si>
    <t>地下庭院-立板-06-12</t>
  </si>
  <si>
    <t>地下庭院-立板-06-13</t>
  </si>
  <si>
    <t>地下庭院-圆立板-02</t>
  </si>
  <si>
    <t>地下庭院-圆立板-03</t>
  </si>
  <si>
    <t>地下庭院-圆立板-06</t>
  </si>
  <si>
    <t>地下庭院-圆立板-07</t>
  </si>
  <si>
    <t>地下庭院-圆立板-09</t>
  </si>
  <si>
    <t>地下庭院-圆柱-01</t>
  </si>
  <si>
    <t>19-2批</t>
  </si>
  <si>
    <t>咖啡色 （仿木色）EC-TJ-M38721</t>
  </si>
  <si>
    <t>C5（雨棚檐）咖啡-14</t>
  </si>
  <si>
    <t>C5（雨棚檐）咖啡-13</t>
  </si>
  <si>
    <t>19-3批</t>
  </si>
  <si>
    <t>C7南（-1 两门中间）仿石</t>
  </si>
  <si>
    <t>20-1批</t>
  </si>
  <si>
    <t>2023-08-18 11:45</t>
  </si>
  <si>
    <t>C6东楼梯-地下-06</t>
  </si>
  <si>
    <t>C6东楼梯-层间-01</t>
  </si>
  <si>
    <t>C6东楼梯-地下-01</t>
  </si>
  <si>
    <t>C6东楼梯-顶-12</t>
  </si>
  <si>
    <t>C6东楼梯-顶-11</t>
  </si>
  <si>
    <t>C6东楼梯-顶-10</t>
  </si>
  <si>
    <t>C6东楼梯-顶-09</t>
  </si>
  <si>
    <t>C6东楼梯-顶-05</t>
  </si>
  <si>
    <t>C6东楼梯-顶-04</t>
  </si>
  <si>
    <t>C6东楼梯-顶-02</t>
  </si>
  <si>
    <t>C6东楼梯-顶-01</t>
  </si>
  <si>
    <t>C6东楼梯-3-5层-01</t>
  </si>
  <si>
    <t>C6东楼梯-2层-01</t>
  </si>
  <si>
    <t>C6东楼梯-1层-02</t>
  </si>
  <si>
    <t>C6东楼梯-层间-02</t>
  </si>
  <si>
    <t>C6东楼梯-地下-02</t>
  </si>
  <si>
    <t>C6东楼梯-层间-06</t>
  </si>
  <si>
    <t>C6东楼梯-1层-07</t>
  </si>
  <si>
    <t>C6东楼梯-1层-01</t>
  </si>
  <si>
    <t>C6东楼梯-1层-06</t>
  </si>
  <si>
    <t>C6东楼梯-3-5层-02</t>
  </si>
  <si>
    <t>C6东楼梯-2层-02</t>
  </si>
  <si>
    <t>C6东楼梯-1层-03</t>
  </si>
  <si>
    <t>C6东楼梯-层间-03</t>
  </si>
  <si>
    <t>C6东楼梯-地下-03</t>
  </si>
  <si>
    <t>C6东楼梯-6层-01</t>
  </si>
  <si>
    <t>C6东楼梯-6层-02</t>
  </si>
  <si>
    <t>C6东楼梯-顶-03</t>
  </si>
  <si>
    <t>C6东楼梯-顶-07</t>
  </si>
  <si>
    <t>C6东楼梯-顶-08</t>
  </si>
  <si>
    <t>C6东楼梯-顶-06</t>
  </si>
  <si>
    <t>C6东楼梯-3-5层-03</t>
  </si>
  <si>
    <t>C6东楼梯-2层-03</t>
  </si>
  <si>
    <t>C6东楼梯-1层-04</t>
  </si>
  <si>
    <t>C6东楼梯-地下-04</t>
  </si>
  <si>
    <t>C6东楼梯-吊顶-03</t>
  </si>
  <si>
    <t>C6东楼梯-吊顶-01</t>
  </si>
  <si>
    <t>C6东楼梯-地下-05</t>
  </si>
  <si>
    <t>C6东楼梯-3-5层-04</t>
  </si>
  <si>
    <t>C6东楼梯-2层-04</t>
  </si>
  <si>
    <t>C6东楼梯-1层-05</t>
  </si>
  <si>
    <t>C6东楼梯-6层-03</t>
  </si>
  <si>
    <t>C6东楼梯-6层-04</t>
  </si>
  <si>
    <t>C6东楼梯-顶立-03</t>
  </si>
  <si>
    <t>C6东楼梯内侧-5层-01</t>
  </si>
  <si>
    <t>C6东楼梯内侧-4层-01</t>
  </si>
  <si>
    <t>C6东楼梯内侧-1层-01</t>
  </si>
  <si>
    <t xml:space="preserve">河 北 铝 业 有 限 公 司  </t>
    <phoneticPr fontId="12" type="noConversion"/>
  </si>
  <si>
    <t>河 北 铝 业 有 限 公 司</t>
    <phoneticPr fontId="12" type="noConversion"/>
  </si>
  <si>
    <t>Aluminum Industry Co., Ltd</t>
    <phoneticPr fontId="12" type="noConversion"/>
  </si>
  <si>
    <t>单件面积
 (M2)</t>
    <phoneticPr fontId="12" type="noConversion"/>
  </si>
  <si>
    <t>发货单位:河北铝业有限公司                        收货单位: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</si>
</sst>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_ "/>
    <numFmt numFmtId="177" formatCode="#,##0.00_ "/>
    <numFmt numFmtId="178" formatCode="0.00_ "/>
    <numFmt numFmtId="179" formatCode="0.0_ "/>
    <numFmt numFmtId="180" formatCode="0_);[Red]\(0\)"/>
    <numFmt numFmtId="181" formatCode="0.0000_);[Red]\(0.0000\)"/>
    <numFmt numFmtId="182" formatCode="&quot;第&quot;#&quot;页&quot;"/>
    <numFmt numFmtId="183" formatCode="&quot;图&quot;#"/>
  </numFmts>
  <fonts count="17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sz val="18"/>
      <name val="宋体"/>
      <charset val="134"/>
    </font>
    <font>
      <b/>
      <sz val="18"/>
      <color indexed="8"/>
      <name val="宋体"/>
      <charset val="134"/>
    </font>
    <font>
      <b/>
      <sz val="20"/>
      <color indexed="8"/>
      <name val="宋体"/>
      <charset val="134"/>
    </font>
    <font>
      <b/>
      <sz val="10"/>
      <color indexed="8"/>
      <name val="宋体"/>
      <charset val="134"/>
    </font>
    <font>
      <b/>
      <sz val="12"/>
      <color indexed="8"/>
      <name val="宋体"/>
      <charset val="134"/>
    </font>
    <font>
      <sz val="16"/>
      <color rgb="FFFF000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b/>
      <sz val="20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5" fillId="2" borderId="2" xfId="0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4" fillId="2" borderId="3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7" fillId="2" borderId="4" xfId="0" applyFont="1" applyFill="1" applyBorder="1">
      <alignment vertical="center"/>
    </xf>
    <xf numFmtId="0" fontId="8" fillId="2" borderId="4" xfId="0" applyFont="1" applyFill="1" applyBorder="1">
      <alignment vertical="center"/>
    </xf>
    <xf numFmtId="0" fontId="2" fillId="2" borderId="6" xfId="1" applyFont="1" applyFill="1" applyBorder="1" applyAlignment="1">
      <alignment horizontal="center" vertical="center"/>
    </xf>
    <xf numFmtId="178" fontId="2" fillId="2" borderId="6" xfId="1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178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49" fontId="3" fillId="2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80" fontId="3" fillId="2" borderId="8" xfId="0" applyNumberFormat="1" applyFont="1" applyFill="1" applyBorder="1" applyAlignment="1">
      <alignment horizontal="center" vertical="center"/>
    </xf>
    <xf numFmtId="177" fontId="3" fillId="2" borderId="8" xfId="0" applyNumberFormat="1" applyFont="1" applyFill="1" applyBorder="1" applyAlignment="1">
      <alignment horizontal="center" vertical="center"/>
    </xf>
    <xf numFmtId="178" fontId="3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0" fontId="2" fillId="2" borderId="6" xfId="1" applyFont="1" applyFill="1" applyBorder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/>
    </xf>
    <xf numFmtId="179" fontId="1" fillId="2" borderId="6" xfId="1" applyNumberForma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179" fontId="1" fillId="2" borderId="6" xfId="1" applyNumberFormat="1" applyFill="1" applyBorder="1" applyAlignment="1">
      <alignment horizontal="center" vertical="center"/>
    </xf>
    <xf numFmtId="176" fontId="1" fillId="2" borderId="6" xfId="1" applyNumberForma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177" fontId="10" fillId="3" borderId="6" xfId="0" applyNumberFormat="1" applyFont="1" applyFill="1" applyBorder="1" applyAlignment="1">
      <alignment horizontal="center" vertical="center"/>
    </xf>
    <xf numFmtId="182" fontId="1" fillId="2" borderId="16" xfId="1" applyNumberFormat="1" applyFill="1" applyBorder="1" applyAlignment="1">
      <alignment horizontal="center" vertical="center"/>
    </xf>
    <xf numFmtId="0" fontId="1" fillId="2" borderId="20" xfId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80" fontId="3" fillId="2" borderId="22" xfId="0" applyNumberFormat="1" applyFont="1" applyFill="1" applyBorder="1" applyAlignment="1">
      <alignment horizontal="center" vertical="center"/>
    </xf>
    <xf numFmtId="180" fontId="3" fillId="2" borderId="23" xfId="0" applyNumberFormat="1" applyFont="1" applyFill="1" applyBorder="1" applyAlignment="1">
      <alignment horizontal="center" vertical="center"/>
    </xf>
    <xf numFmtId="183" fontId="2" fillId="2" borderId="16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77" fontId="2" fillId="3" borderId="6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177" fontId="1" fillId="4" borderId="6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178" fontId="1" fillId="0" borderId="6" xfId="0" applyNumberFormat="1" applyFont="1" applyBorder="1" applyAlignment="1">
      <alignment horizontal="center" vertical="center" wrapText="1"/>
    </xf>
    <xf numFmtId="179" fontId="1" fillId="0" borderId="6" xfId="1" applyNumberForma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83" fontId="2" fillId="0" borderId="16" xfId="1" applyNumberFormat="1" applyFont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2" fontId="2" fillId="2" borderId="6" xfId="0" applyNumberFormat="1" applyFont="1" applyFill="1" applyBorder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178" fontId="1" fillId="2" borderId="10" xfId="0" applyNumberFormat="1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178" fontId="1" fillId="2" borderId="6" xfId="0" applyNumberFormat="1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178" fontId="1" fillId="2" borderId="12" xfId="0" applyNumberFormat="1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180" fontId="2" fillId="2" borderId="6" xfId="1" applyNumberFormat="1" applyFont="1" applyFill="1" applyBorder="1" applyAlignment="1">
      <alignment horizontal="center" vertical="center" wrapText="1"/>
    </xf>
    <xf numFmtId="181" fontId="2" fillId="2" borderId="6" xfId="1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78" fontId="2" fillId="2" borderId="6" xfId="1" applyNumberFormat="1" applyFont="1" applyFill="1" applyBorder="1" applyAlignment="1">
      <alignment horizontal="center" vertical="center" wrapText="1"/>
    </xf>
    <xf numFmtId="178" fontId="2" fillId="2" borderId="6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178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78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 shrinkToFi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178" fontId="2" fillId="2" borderId="6" xfId="1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/>
    </xf>
    <xf numFmtId="22" fontId="2" fillId="2" borderId="6" xfId="0" applyNumberFormat="1" applyFont="1" applyFill="1" applyBorder="1" applyAlignment="1">
      <alignment horizontal="center" vertical="center"/>
    </xf>
    <xf numFmtId="22" fontId="2" fillId="2" borderId="6" xfId="1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181" fontId="15" fillId="2" borderId="6" xfId="1" applyNumberFormat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left" vertical="center"/>
    </xf>
  </cellXfs>
  <cellStyles count="2">
    <cellStyle name="常规" xfId="0" builtinId="0"/>
    <cellStyle name="常规_Sheet2" xfId="1" xr:uid="{00000000-0005-0000-0000-00001E000000}"/>
  </cellStyles>
  <dxfs count="13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  <color rgb="FFFFFF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247650</xdr:rowOff>
    </xdr:from>
    <xdr:to>
      <xdr:col>2</xdr:col>
      <xdr:colOff>577215</xdr:colOff>
      <xdr:row>2</xdr:row>
      <xdr:rowOff>229235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247650"/>
          <a:ext cx="3138805" cy="807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340995</xdr:colOff>
      <xdr:row>69</xdr:row>
      <xdr:rowOff>181610</xdr:rowOff>
    </xdr:from>
    <xdr:to>
      <xdr:col>2</xdr:col>
      <xdr:colOff>586105</xdr:colOff>
      <xdr:row>70</xdr:row>
      <xdr:rowOff>262255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995" y="20019010"/>
          <a:ext cx="280733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340995</xdr:colOff>
      <xdr:row>83</xdr:row>
      <xdr:rowOff>181610</xdr:rowOff>
    </xdr:from>
    <xdr:to>
      <xdr:col>2</xdr:col>
      <xdr:colOff>586105</xdr:colOff>
      <xdr:row>84</xdr:row>
      <xdr:rowOff>262255</xdr:rowOff>
    </xdr:to>
    <xdr:pic>
      <xdr:nvPicPr>
        <xdr:cNvPr id="4" name="图片 2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995" y="24311610"/>
          <a:ext cx="280733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340995</xdr:colOff>
      <xdr:row>13</xdr:row>
      <xdr:rowOff>181610</xdr:rowOff>
    </xdr:from>
    <xdr:to>
      <xdr:col>2</xdr:col>
      <xdr:colOff>586105</xdr:colOff>
      <xdr:row>14</xdr:row>
      <xdr:rowOff>262255</xdr:rowOff>
    </xdr:to>
    <xdr:pic>
      <xdr:nvPicPr>
        <xdr:cNvPr id="5" name="图片 2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995" y="4080510"/>
          <a:ext cx="280733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340995</xdr:colOff>
      <xdr:row>97</xdr:row>
      <xdr:rowOff>181610</xdr:rowOff>
    </xdr:from>
    <xdr:to>
      <xdr:col>2</xdr:col>
      <xdr:colOff>586105</xdr:colOff>
      <xdr:row>98</xdr:row>
      <xdr:rowOff>262255</xdr:rowOff>
    </xdr:to>
    <xdr:pic>
      <xdr:nvPicPr>
        <xdr:cNvPr id="6" name="图片 2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995" y="28604210"/>
          <a:ext cx="280733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340995</xdr:colOff>
      <xdr:row>140</xdr:row>
      <xdr:rowOff>181610</xdr:rowOff>
    </xdr:from>
    <xdr:to>
      <xdr:col>2</xdr:col>
      <xdr:colOff>586105</xdr:colOff>
      <xdr:row>141</xdr:row>
      <xdr:rowOff>262255</xdr:rowOff>
    </xdr:to>
    <xdr:pic>
      <xdr:nvPicPr>
        <xdr:cNvPr id="7" name="图片 2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995" y="40999410"/>
          <a:ext cx="2807335" cy="5505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DR169"/>
  <sheetViews>
    <sheetView tabSelected="1" zoomScale="70" zoomScaleNormal="70" workbookViewId="0">
      <selection activeCell="A168" sqref="A168:S168"/>
    </sheetView>
  </sheetViews>
  <sheetFormatPr defaultColWidth="9" defaultRowHeight="15" x14ac:dyDescent="0.25"/>
  <cols>
    <col min="1" max="1" width="9" style="5"/>
    <col min="2" max="2" width="24.6328125" style="5" customWidth="1"/>
    <col min="3" max="6" width="9" style="5"/>
    <col min="7" max="7" width="12.6328125" style="6"/>
    <col min="8" max="8" width="26.26953125" style="5" customWidth="1"/>
    <col min="9" max="9" width="9" style="5"/>
    <col min="10" max="10" width="17.08984375" style="5" customWidth="1"/>
    <col min="11" max="11" width="9" style="5"/>
    <col min="12" max="12" width="12.90625" style="5"/>
    <col min="13" max="20" width="9" style="5"/>
    <col min="21" max="21" width="14.08984375" style="5"/>
    <col min="22" max="22" width="11.453125" style="5"/>
    <col min="23" max="24" width="14.08984375" style="5"/>
    <col min="25" max="16346" width="9" style="5"/>
  </cols>
  <sheetData>
    <row r="1" spans="1:22" s="1" customFormat="1" ht="37" customHeight="1" x14ac:dyDescent="0.25">
      <c r="A1" s="7" t="s">
        <v>0</v>
      </c>
      <c r="B1" s="8"/>
      <c r="C1" s="9"/>
      <c r="D1" s="10"/>
      <c r="E1" s="10"/>
      <c r="F1" s="88" t="s">
        <v>175</v>
      </c>
      <c r="G1" s="89"/>
      <c r="H1" s="90"/>
      <c r="I1" s="90"/>
      <c r="J1" s="90"/>
      <c r="K1" s="90"/>
      <c r="L1" s="90"/>
      <c r="M1" s="90"/>
      <c r="N1" s="90"/>
      <c r="O1" s="109"/>
      <c r="P1" s="110"/>
      <c r="Q1" s="100"/>
      <c r="R1" s="101"/>
      <c r="S1" s="104"/>
    </row>
    <row r="2" spans="1:22" s="1" customFormat="1" ht="28" customHeight="1" x14ac:dyDescent="0.25">
      <c r="A2" s="11"/>
      <c r="B2" s="12"/>
      <c r="C2" s="13"/>
      <c r="D2" s="14" t="s">
        <v>1</v>
      </c>
      <c r="E2" s="14"/>
      <c r="F2" s="91" t="s">
        <v>177</v>
      </c>
      <c r="G2" s="92"/>
      <c r="H2" s="93"/>
      <c r="I2" s="93"/>
      <c r="J2" s="93"/>
      <c r="K2" s="93"/>
      <c r="L2" s="93"/>
      <c r="M2" s="93"/>
      <c r="N2" s="93"/>
      <c r="O2" s="111"/>
      <c r="P2" s="112"/>
      <c r="Q2" s="102"/>
      <c r="R2" s="103"/>
      <c r="S2" s="105"/>
    </row>
    <row r="3" spans="1:22" s="2" customFormat="1" ht="22" customHeight="1" x14ac:dyDescent="0.25">
      <c r="A3" s="94" t="s">
        <v>2</v>
      </c>
      <c r="B3" s="60"/>
      <c r="C3" s="60" t="s">
        <v>45</v>
      </c>
      <c r="D3" s="60"/>
      <c r="E3" s="60"/>
      <c r="F3" s="60"/>
      <c r="G3" s="16" t="s">
        <v>3</v>
      </c>
      <c r="H3" s="15" t="s">
        <v>54</v>
      </c>
      <c r="I3" s="15" t="s">
        <v>4</v>
      </c>
      <c r="J3" s="108" t="s">
        <v>53</v>
      </c>
      <c r="K3" s="96"/>
      <c r="L3" s="96"/>
      <c r="M3" s="63" t="s">
        <v>5</v>
      </c>
      <c r="N3" s="64"/>
      <c r="O3" s="63"/>
      <c r="P3" s="64"/>
      <c r="Q3" s="64"/>
      <c r="R3" s="64"/>
      <c r="S3" s="65"/>
    </row>
    <row r="4" spans="1:22" s="2" customFormat="1" ht="22" customHeight="1" x14ac:dyDescent="0.25">
      <c r="A4" s="94" t="s">
        <v>6</v>
      </c>
      <c r="B4" s="60"/>
      <c r="C4" s="60" t="s">
        <v>63</v>
      </c>
      <c r="D4" s="60"/>
      <c r="E4" s="60"/>
      <c r="F4" s="60"/>
      <c r="G4" s="99"/>
      <c r="H4" s="60"/>
      <c r="I4" s="60"/>
      <c r="J4" s="60"/>
      <c r="K4" s="60"/>
      <c r="L4" s="60"/>
      <c r="M4" s="63" t="s">
        <v>7</v>
      </c>
      <c r="N4" s="64"/>
      <c r="O4" s="63" t="s">
        <v>55</v>
      </c>
      <c r="P4" s="64"/>
      <c r="Q4" s="64"/>
      <c r="R4" s="64"/>
      <c r="S4" s="65"/>
    </row>
    <row r="5" spans="1:22" s="2" customFormat="1" ht="22" customHeight="1" x14ac:dyDescent="0.25">
      <c r="A5" s="80" t="s">
        <v>8</v>
      </c>
      <c r="B5" s="81" t="s">
        <v>9</v>
      </c>
      <c r="C5" s="60" t="s">
        <v>10</v>
      </c>
      <c r="D5" s="61"/>
      <c r="E5" s="83" t="s">
        <v>11</v>
      </c>
      <c r="F5" s="113" t="s">
        <v>178</v>
      </c>
      <c r="G5" s="86" t="s">
        <v>13</v>
      </c>
      <c r="H5" s="17" t="s">
        <v>14</v>
      </c>
      <c r="I5" s="107" t="s">
        <v>56</v>
      </c>
      <c r="J5" s="61"/>
      <c r="K5" s="61"/>
      <c r="L5" s="61"/>
      <c r="M5" s="63" t="s">
        <v>15</v>
      </c>
      <c r="N5" s="64"/>
      <c r="O5" s="63" t="s">
        <v>57</v>
      </c>
      <c r="P5" s="64"/>
      <c r="Q5" s="64"/>
      <c r="R5" s="64"/>
      <c r="S5" s="65"/>
    </row>
    <row r="6" spans="1:22" s="2" customFormat="1" ht="22" customHeight="1" x14ac:dyDescent="0.25">
      <c r="A6" s="80"/>
      <c r="B6" s="82"/>
      <c r="C6" s="15" t="s">
        <v>16</v>
      </c>
      <c r="D6" s="15" t="s">
        <v>17</v>
      </c>
      <c r="E6" s="61"/>
      <c r="F6" s="85"/>
      <c r="G6" s="87"/>
      <c r="H6" s="15" t="s">
        <v>18</v>
      </c>
      <c r="I6" s="30" t="s">
        <v>19</v>
      </c>
      <c r="J6" s="15" t="s">
        <v>20</v>
      </c>
      <c r="K6" s="15" t="s">
        <v>21</v>
      </c>
      <c r="L6" s="15" t="s">
        <v>22</v>
      </c>
      <c r="M6" s="15" t="s">
        <v>23</v>
      </c>
      <c r="N6" s="15" t="s">
        <v>24</v>
      </c>
      <c r="O6" s="15" t="s">
        <v>25</v>
      </c>
      <c r="P6" s="15" t="s">
        <v>26</v>
      </c>
      <c r="Q6" s="15" t="s">
        <v>27</v>
      </c>
      <c r="R6" s="31" t="s">
        <v>28</v>
      </c>
      <c r="S6" s="36" t="s">
        <v>29</v>
      </c>
      <c r="T6" s="37" t="s">
        <v>30</v>
      </c>
      <c r="U6" s="38" t="s">
        <v>31</v>
      </c>
    </row>
    <row r="7" spans="1:22" s="1" customFormat="1" ht="22" customHeight="1" x14ac:dyDescent="0.25">
      <c r="A7" s="18">
        <v>12</v>
      </c>
      <c r="B7" s="19" t="s">
        <v>60</v>
      </c>
      <c r="C7" s="20">
        <v>1388</v>
      </c>
      <c r="D7" s="20">
        <v>646</v>
      </c>
      <c r="E7" s="19">
        <v>4</v>
      </c>
      <c r="F7" s="21">
        <v>0.896648</v>
      </c>
      <c r="G7" s="21">
        <v>3.586592</v>
      </c>
      <c r="H7" s="20" t="s">
        <v>58</v>
      </c>
      <c r="I7" s="32" t="s">
        <v>59</v>
      </c>
      <c r="J7" s="20" t="s">
        <v>33</v>
      </c>
      <c r="K7" s="20">
        <v>5</v>
      </c>
      <c r="L7" s="20"/>
      <c r="M7" s="20"/>
      <c r="N7" s="33"/>
      <c r="O7" s="33"/>
      <c r="P7" s="20"/>
      <c r="Q7" s="20"/>
      <c r="R7" s="39">
        <v>4</v>
      </c>
      <c r="S7" s="40"/>
      <c r="T7" s="37">
        <f>285</f>
        <v>285</v>
      </c>
      <c r="U7" s="38">
        <f>T7*G7</f>
        <v>1022.17872</v>
      </c>
      <c r="V7" s="41">
        <f>U7</f>
        <v>1022.17872</v>
      </c>
    </row>
    <row r="8" spans="1:22" s="1" customFormat="1" ht="22" customHeight="1" x14ac:dyDescent="0.25">
      <c r="A8" s="22"/>
      <c r="B8" s="23" t="s">
        <v>34</v>
      </c>
      <c r="C8" s="24"/>
      <c r="D8" s="24"/>
      <c r="E8" s="25">
        <v>4</v>
      </c>
      <c r="F8" s="26"/>
      <c r="G8" s="27">
        <v>3.586592</v>
      </c>
      <c r="H8" s="28"/>
      <c r="I8" s="28"/>
      <c r="J8" s="28"/>
      <c r="K8" s="28"/>
      <c r="L8" s="25">
        <v>0</v>
      </c>
      <c r="M8" s="25">
        <v>0</v>
      </c>
      <c r="N8" s="28"/>
      <c r="O8" s="28"/>
      <c r="P8" s="28"/>
      <c r="Q8" s="25">
        <v>0</v>
      </c>
      <c r="R8" s="42"/>
      <c r="S8" s="43"/>
    </row>
    <row r="9" spans="1:22" s="1" customFormat="1" ht="22" customHeight="1" x14ac:dyDescent="0.25">
      <c r="A9" s="66" t="s">
        <v>36</v>
      </c>
      <c r="B9" s="67"/>
      <c r="C9" s="67"/>
      <c r="D9" s="67"/>
      <c r="E9" s="67"/>
      <c r="F9" s="67"/>
      <c r="G9" s="68"/>
      <c r="H9" s="67"/>
      <c r="I9" s="67"/>
      <c r="J9" s="67"/>
      <c r="K9" s="67"/>
      <c r="L9" s="67"/>
      <c r="M9" s="67"/>
      <c r="N9" s="67"/>
      <c r="O9" s="67"/>
      <c r="P9" s="67"/>
      <c r="Q9" s="67"/>
      <c r="R9" s="69"/>
      <c r="S9" s="70"/>
    </row>
    <row r="10" spans="1:22" s="1" customFormat="1" ht="22" customHeight="1" x14ac:dyDescent="0.25">
      <c r="A10" s="71" t="s">
        <v>37</v>
      </c>
      <c r="B10" s="72"/>
      <c r="C10" s="72"/>
      <c r="D10" s="72"/>
      <c r="E10" s="72"/>
      <c r="F10" s="72"/>
      <c r="G10" s="73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4"/>
      <c r="S10" s="75"/>
    </row>
    <row r="11" spans="1:22" s="1" customFormat="1" ht="22" customHeight="1" x14ac:dyDescent="0.25">
      <c r="A11" s="114" t="s">
        <v>179</v>
      </c>
      <c r="B11" s="72"/>
      <c r="C11" s="72"/>
      <c r="D11" s="72"/>
      <c r="E11" s="72"/>
      <c r="F11" s="72"/>
      <c r="G11" s="73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4"/>
      <c r="S11" s="75"/>
    </row>
    <row r="12" spans="1:22" s="1" customFormat="1" ht="22" customHeight="1" x14ac:dyDescent="0.25">
      <c r="A12" s="71" t="s">
        <v>40</v>
      </c>
      <c r="B12" s="72"/>
      <c r="C12" s="72"/>
      <c r="D12" s="72"/>
      <c r="E12" s="72"/>
      <c r="F12" s="72"/>
      <c r="G12" s="73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4"/>
      <c r="S12" s="75"/>
    </row>
    <row r="13" spans="1:22" s="1" customFormat="1" ht="22" customHeight="1" x14ac:dyDescent="0.25">
      <c r="A13" s="76" t="s">
        <v>41</v>
      </c>
      <c r="B13" s="77"/>
      <c r="C13" s="77"/>
      <c r="D13" s="77"/>
      <c r="E13" s="77"/>
      <c r="F13" s="77"/>
      <c r="G13" s="78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9"/>
      <c r="S13" s="106"/>
    </row>
    <row r="14" spans="1:22" s="1" customFormat="1" ht="37" customHeight="1" x14ac:dyDescent="0.25">
      <c r="A14" s="7" t="s">
        <v>0</v>
      </c>
      <c r="B14" s="8"/>
      <c r="C14" s="9"/>
      <c r="D14" s="10"/>
      <c r="E14" s="10"/>
      <c r="F14" s="88" t="s">
        <v>176</v>
      </c>
      <c r="G14" s="89"/>
      <c r="H14" s="90"/>
      <c r="I14" s="90"/>
      <c r="J14" s="90"/>
      <c r="K14" s="90"/>
      <c r="L14" s="90"/>
      <c r="M14" s="90"/>
      <c r="N14" s="90"/>
      <c r="O14" s="100"/>
      <c r="P14" s="101"/>
      <c r="Q14" s="100"/>
      <c r="R14" s="101"/>
      <c r="S14" s="104"/>
    </row>
    <row r="15" spans="1:22" s="1" customFormat="1" ht="37" customHeight="1" x14ac:dyDescent="0.25">
      <c r="A15" s="11"/>
      <c r="B15" s="12"/>
      <c r="C15" s="13"/>
      <c r="D15" s="14"/>
      <c r="E15" s="14"/>
      <c r="F15" s="91" t="s">
        <v>177</v>
      </c>
      <c r="G15" s="92"/>
      <c r="H15" s="93"/>
      <c r="I15" s="93"/>
      <c r="J15" s="93"/>
      <c r="K15" s="93"/>
      <c r="L15" s="93"/>
      <c r="M15" s="93"/>
      <c r="N15" s="93"/>
      <c r="O15" s="102"/>
      <c r="P15" s="103"/>
      <c r="Q15" s="102"/>
      <c r="R15" s="103"/>
      <c r="S15" s="105"/>
    </row>
    <row r="16" spans="1:22" s="2" customFormat="1" ht="22" customHeight="1" x14ac:dyDescent="0.25">
      <c r="A16" s="94" t="s">
        <v>2</v>
      </c>
      <c r="B16" s="60"/>
      <c r="C16" s="95" t="s">
        <v>45</v>
      </c>
      <c r="D16" s="95"/>
      <c r="E16" s="95"/>
      <c r="F16" s="95"/>
      <c r="G16" s="16" t="s">
        <v>3</v>
      </c>
      <c r="H16" s="15" t="s">
        <v>64</v>
      </c>
      <c r="I16" s="15" t="s">
        <v>4</v>
      </c>
      <c r="J16" s="96" t="s">
        <v>51</v>
      </c>
      <c r="K16" s="96"/>
      <c r="L16" s="96"/>
      <c r="M16" s="63" t="s">
        <v>5</v>
      </c>
      <c r="N16" s="64"/>
      <c r="O16" s="97"/>
      <c r="P16" s="98"/>
      <c r="Q16" s="64"/>
      <c r="R16" s="64"/>
      <c r="S16" s="65"/>
    </row>
    <row r="17" spans="1:24" s="2" customFormat="1" ht="22" customHeight="1" x14ac:dyDescent="0.25">
      <c r="A17" s="94" t="s">
        <v>6</v>
      </c>
      <c r="B17" s="60"/>
      <c r="C17" s="60"/>
      <c r="D17" s="60"/>
      <c r="E17" s="60"/>
      <c r="F17" s="60"/>
      <c r="G17" s="99"/>
      <c r="H17" s="60"/>
      <c r="I17" s="60"/>
      <c r="J17" s="60"/>
      <c r="K17" s="60"/>
      <c r="L17" s="60"/>
      <c r="M17" s="63" t="s">
        <v>7</v>
      </c>
      <c r="N17" s="64"/>
      <c r="O17" s="63" t="s">
        <v>65</v>
      </c>
      <c r="P17" s="64"/>
      <c r="Q17" s="64"/>
      <c r="R17" s="64"/>
      <c r="S17" s="65"/>
    </row>
    <row r="18" spans="1:24" s="2" customFormat="1" ht="22" customHeight="1" x14ac:dyDescent="0.25">
      <c r="A18" s="80" t="s">
        <v>8</v>
      </c>
      <c r="B18" s="81" t="s">
        <v>9</v>
      </c>
      <c r="C18" s="60" t="s">
        <v>10</v>
      </c>
      <c r="D18" s="61"/>
      <c r="E18" s="83" t="s">
        <v>11</v>
      </c>
      <c r="F18" s="84" t="s">
        <v>12</v>
      </c>
      <c r="G18" s="86" t="s">
        <v>13</v>
      </c>
      <c r="H18" s="17" t="s">
        <v>14</v>
      </c>
      <c r="I18" s="62" t="s">
        <v>76</v>
      </c>
      <c r="J18" s="61"/>
      <c r="K18" s="61"/>
      <c r="L18" s="61"/>
      <c r="M18" s="63" t="s">
        <v>15</v>
      </c>
      <c r="N18" s="64"/>
      <c r="O18" s="63"/>
      <c r="P18" s="64"/>
      <c r="Q18" s="64"/>
      <c r="R18" s="64"/>
      <c r="S18" s="65"/>
    </row>
    <row r="19" spans="1:24" s="2" customFormat="1" ht="22" customHeight="1" x14ac:dyDescent="0.25">
      <c r="A19" s="80"/>
      <c r="B19" s="82"/>
      <c r="C19" s="15" t="s">
        <v>16</v>
      </c>
      <c r="D19" s="15" t="s">
        <v>17</v>
      </c>
      <c r="E19" s="61"/>
      <c r="F19" s="85"/>
      <c r="G19" s="87"/>
      <c r="H19" s="15" t="s">
        <v>18</v>
      </c>
      <c r="I19" s="30" t="s">
        <v>19</v>
      </c>
      <c r="J19" s="15" t="s">
        <v>20</v>
      </c>
      <c r="K19" s="15" t="s">
        <v>21</v>
      </c>
      <c r="L19" s="15" t="s">
        <v>22</v>
      </c>
      <c r="M19" s="15" t="s">
        <v>23</v>
      </c>
      <c r="N19" s="15" t="s">
        <v>24</v>
      </c>
      <c r="O19" s="15" t="s">
        <v>25</v>
      </c>
      <c r="P19" s="15" t="s">
        <v>26</v>
      </c>
      <c r="Q19" s="15" t="s">
        <v>27</v>
      </c>
      <c r="R19" s="31" t="s">
        <v>28</v>
      </c>
      <c r="S19" s="36" t="s">
        <v>29</v>
      </c>
      <c r="T19" s="37" t="s">
        <v>30</v>
      </c>
      <c r="U19" s="38" t="s">
        <v>31</v>
      </c>
      <c r="V19" s="45" t="s">
        <v>32</v>
      </c>
      <c r="W19" s="46"/>
    </row>
    <row r="20" spans="1:24" s="1" customFormat="1" ht="22" customHeight="1" x14ac:dyDescent="0.25">
      <c r="A20" s="18">
        <v>40</v>
      </c>
      <c r="B20" s="19" t="s">
        <v>77</v>
      </c>
      <c r="C20" s="20">
        <v>1803</v>
      </c>
      <c r="D20" s="20">
        <v>1215</v>
      </c>
      <c r="E20" s="19">
        <v>1</v>
      </c>
      <c r="F20" s="21">
        <v>2.190645</v>
      </c>
      <c r="G20" s="21">
        <f t="shared" ref="G20:G63" si="0">F20*E20</f>
        <v>2.190645</v>
      </c>
      <c r="H20" s="20" t="s">
        <v>58</v>
      </c>
      <c r="I20" s="34">
        <v>3</v>
      </c>
      <c r="J20" s="20" t="s">
        <v>66</v>
      </c>
      <c r="K20" s="20">
        <v>8</v>
      </c>
      <c r="L20" s="35"/>
      <c r="M20" s="20"/>
      <c r="N20" s="33" t="s">
        <v>44</v>
      </c>
      <c r="O20" s="33" t="s">
        <v>44</v>
      </c>
      <c r="P20" s="20"/>
      <c r="Q20" s="20"/>
      <c r="R20" s="44">
        <v>5</v>
      </c>
      <c r="S20" s="40" t="s">
        <v>44</v>
      </c>
      <c r="T20" s="37">
        <f>285+10+50</f>
        <v>345</v>
      </c>
      <c r="U20" s="38">
        <f t="shared" ref="U20:U63" si="1">T20*G20</f>
        <v>755.77252499999997</v>
      </c>
      <c r="V20" s="37">
        <v>5</v>
      </c>
      <c r="W20" s="38">
        <f>V20*G20</f>
        <v>10.953225</v>
      </c>
      <c r="X20" s="47"/>
    </row>
    <row r="21" spans="1:24" s="1" customFormat="1" ht="22" customHeight="1" x14ac:dyDescent="0.25">
      <c r="A21" s="18">
        <v>43</v>
      </c>
      <c r="B21" s="19" t="s">
        <v>78</v>
      </c>
      <c r="C21" s="20">
        <v>1803</v>
      </c>
      <c r="D21" s="20">
        <v>1998</v>
      </c>
      <c r="E21" s="19">
        <v>1</v>
      </c>
      <c r="F21" s="21">
        <v>3.6023939999999999</v>
      </c>
      <c r="G21" s="21">
        <f t="shared" si="0"/>
        <v>3.6023939999999999</v>
      </c>
      <c r="H21" s="20" t="s">
        <v>58</v>
      </c>
      <c r="I21" s="34">
        <v>3</v>
      </c>
      <c r="J21" s="20" t="s">
        <v>66</v>
      </c>
      <c r="K21" s="20">
        <v>8</v>
      </c>
      <c r="L21" s="35"/>
      <c r="M21" s="20"/>
      <c r="N21" s="33">
        <v>1.9</v>
      </c>
      <c r="O21" s="33" t="s">
        <v>44</v>
      </c>
      <c r="P21" s="20"/>
      <c r="Q21" s="20"/>
      <c r="R21" s="44">
        <v>5</v>
      </c>
      <c r="S21" s="40" t="s">
        <v>44</v>
      </c>
      <c r="T21" s="37">
        <f>285+10+50+60</f>
        <v>405</v>
      </c>
      <c r="U21" s="38">
        <f t="shared" si="1"/>
        <v>1458.96957</v>
      </c>
      <c r="V21" s="37">
        <v>5</v>
      </c>
      <c r="W21" s="38">
        <f t="shared" ref="W21:W63" si="2">V21*G21</f>
        <v>18.011969999999998</v>
      </c>
      <c r="X21" s="47"/>
    </row>
    <row r="22" spans="1:24" s="1" customFormat="1" ht="22" customHeight="1" x14ac:dyDescent="0.25">
      <c r="A22" s="18">
        <v>44</v>
      </c>
      <c r="B22" s="19" t="s">
        <v>79</v>
      </c>
      <c r="C22" s="20">
        <v>1803</v>
      </c>
      <c r="D22" s="20">
        <v>1280</v>
      </c>
      <c r="E22" s="19">
        <v>1</v>
      </c>
      <c r="F22" s="21">
        <v>2.3078400000000001</v>
      </c>
      <c r="G22" s="21">
        <f t="shared" si="0"/>
        <v>2.3078400000000001</v>
      </c>
      <c r="H22" s="20" t="s">
        <v>58</v>
      </c>
      <c r="I22" s="34">
        <v>3</v>
      </c>
      <c r="J22" s="20" t="s">
        <v>66</v>
      </c>
      <c r="K22" s="20">
        <v>8</v>
      </c>
      <c r="L22" s="35"/>
      <c r="M22" s="20"/>
      <c r="N22" s="33" t="s">
        <v>44</v>
      </c>
      <c r="O22" s="33" t="s">
        <v>44</v>
      </c>
      <c r="P22" s="20"/>
      <c r="Q22" s="20"/>
      <c r="R22" s="44">
        <v>5</v>
      </c>
      <c r="S22" s="40" t="s">
        <v>44</v>
      </c>
      <c r="T22" s="37">
        <f t="shared" ref="T22:T28" si="3">285+10+50</f>
        <v>345</v>
      </c>
      <c r="U22" s="38">
        <f t="shared" si="1"/>
        <v>796.20480000000009</v>
      </c>
      <c r="V22" s="37">
        <v>5</v>
      </c>
      <c r="W22" s="38">
        <f t="shared" si="2"/>
        <v>11.539200000000001</v>
      </c>
      <c r="X22" s="47"/>
    </row>
    <row r="23" spans="1:24" s="1" customFormat="1" ht="22" customHeight="1" x14ac:dyDescent="0.25">
      <c r="A23" s="18">
        <v>48</v>
      </c>
      <c r="B23" s="19" t="s">
        <v>80</v>
      </c>
      <c r="C23" s="20">
        <v>646</v>
      </c>
      <c r="D23" s="20">
        <v>1838</v>
      </c>
      <c r="E23" s="19">
        <v>1</v>
      </c>
      <c r="F23" s="21">
        <v>1.1873480000000001</v>
      </c>
      <c r="G23" s="21">
        <f t="shared" si="0"/>
        <v>1.1873480000000001</v>
      </c>
      <c r="H23" s="20" t="s">
        <v>58</v>
      </c>
      <c r="I23" s="34">
        <v>3</v>
      </c>
      <c r="J23" s="20" t="s">
        <v>33</v>
      </c>
      <c r="K23" s="20">
        <v>6</v>
      </c>
      <c r="L23" s="35"/>
      <c r="M23" s="20"/>
      <c r="N23" s="33" t="s">
        <v>44</v>
      </c>
      <c r="O23" s="33" t="s">
        <v>44</v>
      </c>
      <c r="P23" s="20"/>
      <c r="Q23" s="20"/>
      <c r="R23" s="44">
        <v>6</v>
      </c>
      <c r="S23" s="40" t="s">
        <v>44</v>
      </c>
      <c r="T23" s="37">
        <f>285</f>
        <v>285</v>
      </c>
      <c r="U23" s="38">
        <f t="shared" si="1"/>
        <v>338.39418000000001</v>
      </c>
      <c r="V23" s="37">
        <v>5</v>
      </c>
      <c r="W23" s="38">
        <f t="shared" si="2"/>
        <v>5.9367400000000004</v>
      </c>
      <c r="X23" s="47"/>
    </row>
    <row r="24" spans="1:24" s="1" customFormat="1" ht="22" customHeight="1" x14ac:dyDescent="0.25">
      <c r="A24" s="18">
        <v>49</v>
      </c>
      <c r="B24" s="19" t="s">
        <v>81</v>
      </c>
      <c r="C24" s="20">
        <v>646</v>
      </c>
      <c r="D24" s="20">
        <v>1838</v>
      </c>
      <c r="E24" s="19">
        <v>1</v>
      </c>
      <c r="F24" s="21">
        <v>1.1873480000000001</v>
      </c>
      <c r="G24" s="21">
        <f t="shared" si="0"/>
        <v>1.1873480000000001</v>
      </c>
      <c r="H24" s="20" t="s">
        <v>58</v>
      </c>
      <c r="I24" s="34">
        <v>3</v>
      </c>
      <c r="J24" s="20" t="s">
        <v>33</v>
      </c>
      <c r="K24" s="20">
        <v>6</v>
      </c>
      <c r="L24" s="35"/>
      <c r="M24" s="20"/>
      <c r="N24" s="33" t="s">
        <v>44</v>
      </c>
      <c r="O24" s="33" t="s">
        <v>44</v>
      </c>
      <c r="P24" s="20"/>
      <c r="Q24" s="20"/>
      <c r="R24" s="44">
        <v>7</v>
      </c>
      <c r="S24" s="40" t="s">
        <v>44</v>
      </c>
      <c r="T24" s="37">
        <f>285</f>
        <v>285</v>
      </c>
      <c r="U24" s="38">
        <f t="shared" si="1"/>
        <v>338.39418000000001</v>
      </c>
      <c r="V24" s="37">
        <v>5</v>
      </c>
      <c r="W24" s="38">
        <f t="shared" si="2"/>
        <v>5.9367400000000004</v>
      </c>
      <c r="X24" s="47"/>
    </row>
    <row r="25" spans="1:24" s="1" customFormat="1" ht="22" customHeight="1" x14ac:dyDescent="0.25">
      <c r="A25" s="18">
        <v>52</v>
      </c>
      <c r="B25" s="19" t="s">
        <v>82</v>
      </c>
      <c r="C25" s="20">
        <v>1713</v>
      </c>
      <c r="D25" s="20">
        <v>1998</v>
      </c>
      <c r="E25" s="19">
        <v>1</v>
      </c>
      <c r="F25" s="21">
        <v>3.422574</v>
      </c>
      <c r="G25" s="21">
        <f t="shared" si="0"/>
        <v>3.422574</v>
      </c>
      <c r="H25" s="20" t="s">
        <v>58</v>
      </c>
      <c r="I25" s="34">
        <v>3</v>
      </c>
      <c r="J25" s="20" t="s">
        <v>67</v>
      </c>
      <c r="K25" s="20">
        <v>5</v>
      </c>
      <c r="L25" s="35"/>
      <c r="M25" s="20"/>
      <c r="N25" s="33">
        <v>1.8</v>
      </c>
      <c r="O25" s="33" t="s">
        <v>44</v>
      </c>
      <c r="P25" s="20"/>
      <c r="Q25" s="20"/>
      <c r="R25" s="44">
        <v>9</v>
      </c>
      <c r="S25" s="40" t="s">
        <v>44</v>
      </c>
      <c r="T25" s="37">
        <f>285+10+50+30</f>
        <v>375</v>
      </c>
      <c r="U25" s="38">
        <f t="shared" si="1"/>
        <v>1283.46525</v>
      </c>
      <c r="V25" s="37">
        <v>5</v>
      </c>
      <c r="W25" s="38">
        <f t="shared" si="2"/>
        <v>17.112870000000001</v>
      </c>
      <c r="X25" s="47"/>
    </row>
    <row r="26" spans="1:24" s="1" customFormat="1" ht="22" customHeight="1" x14ac:dyDescent="0.25">
      <c r="A26" s="18">
        <v>55</v>
      </c>
      <c r="B26" s="19" t="s">
        <v>83</v>
      </c>
      <c r="C26" s="20">
        <v>1812</v>
      </c>
      <c r="D26" s="20">
        <v>1200</v>
      </c>
      <c r="E26" s="19">
        <v>1</v>
      </c>
      <c r="F26" s="21">
        <v>2.1743999999999999</v>
      </c>
      <c r="G26" s="21">
        <f t="shared" si="0"/>
        <v>2.1743999999999999</v>
      </c>
      <c r="H26" s="20" t="s">
        <v>58</v>
      </c>
      <c r="I26" s="34">
        <v>3</v>
      </c>
      <c r="J26" s="20" t="s">
        <v>67</v>
      </c>
      <c r="K26" s="20">
        <v>4</v>
      </c>
      <c r="L26" s="35"/>
      <c r="M26" s="20"/>
      <c r="N26" s="33" t="s">
        <v>44</v>
      </c>
      <c r="O26" s="33" t="s">
        <v>44</v>
      </c>
      <c r="P26" s="20"/>
      <c r="Q26" s="20"/>
      <c r="R26" s="44">
        <v>11</v>
      </c>
      <c r="S26" s="40" t="s">
        <v>44</v>
      </c>
      <c r="T26" s="37">
        <f t="shared" si="3"/>
        <v>345</v>
      </c>
      <c r="U26" s="38">
        <f t="shared" si="1"/>
        <v>750.16800000000001</v>
      </c>
      <c r="V26" s="37">
        <v>5</v>
      </c>
      <c r="W26" s="38">
        <f t="shared" si="2"/>
        <v>10.872</v>
      </c>
      <c r="X26" s="47"/>
    </row>
    <row r="27" spans="1:24" s="1" customFormat="1" ht="22" customHeight="1" x14ac:dyDescent="0.25">
      <c r="A27" s="18">
        <v>56</v>
      </c>
      <c r="B27" s="19" t="s">
        <v>84</v>
      </c>
      <c r="C27" s="20">
        <v>1388</v>
      </c>
      <c r="D27" s="20">
        <v>2533</v>
      </c>
      <c r="E27" s="19">
        <v>1</v>
      </c>
      <c r="F27" s="21">
        <v>3.5158040000000002</v>
      </c>
      <c r="G27" s="21">
        <f t="shared" si="0"/>
        <v>3.5158040000000002</v>
      </c>
      <c r="H27" s="20" t="s">
        <v>58</v>
      </c>
      <c r="I27" s="34">
        <v>3</v>
      </c>
      <c r="J27" s="20" t="s">
        <v>67</v>
      </c>
      <c r="K27" s="20">
        <v>4</v>
      </c>
      <c r="L27" s="35"/>
      <c r="M27" s="20"/>
      <c r="N27" s="33"/>
      <c r="O27" s="33" t="s">
        <v>44</v>
      </c>
      <c r="P27" s="20"/>
      <c r="Q27" s="20"/>
      <c r="R27" s="44">
        <v>11</v>
      </c>
      <c r="S27" s="40" t="s">
        <v>44</v>
      </c>
      <c r="T27" s="37">
        <f t="shared" si="3"/>
        <v>345</v>
      </c>
      <c r="U27" s="38">
        <f t="shared" si="1"/>
        <v>1212.9523799999999</v>
      </c>
      <c r="V27" s="37">
        <v>5</v>
      </c>
      <c r="W27" s="38">
        <f t="shared" si="2"/>
        <v>17.57902</v>
      </c>
      <c r="X27" s="47"/>
    </row>
    <row r="28" spans="1:24" s="1" customFormat="1" ht="22" customHeight="1" x14ac:dyDescent="0.25">
      <c r="A28" s="18">
        <v>57</v>
      </c>
      <c r="B28" s="19" t="s">
        <v>85</v>
      </c>
      <c r="C28" s="20">
        <v>1388</v>
      </c>
      <c r="D28" s="20">
        <v>1655</v>
      </c>
      <c r="E28" s="19">
        <v>1</v>
      </c>
      <c r="F28" s="21">
        <v>2.2971400000000002</v>
      </c>
      <c r="G28" s="21">
        <f t="shared" si="0"/>
        <v>2.2971400000000002</v>
      </c>
      <c r="H28" s="20" t="s">
        <v>58</v>
      </c>
      <c r="I28" s="34">
        <v>3</v>
      </c>
      <c r="J28" s="20" t="s">
        <v>67</v>
      </c>
      <c r="K28" s="20">
        <v>4</v>
      </c>
      <c r="L28" s="35"/>
      <c r="M28" s="20"/>
      <c r="N28" s="33"/>
      <c r="O28" s="33" t="s">
        <v>44</v>
      </c>
      <c r="P28" s="20"/>
      <c r="Q28" s="20"/>
      <c r="R28" s="44">
        <v>11</v>
      </c>
      <c r="S28" s="40" t="s">
        <v>44</v>
      </c>
      <c r="T28" s="37">
        <f t="shared" si="3"/>
        <v>345</v>
      </c>
      <c r="U28" s="38">
        <f t="shared" si="1"/>
        <v>792.51330000000007</v>
      </c>
      <c r="V28" s="37">
        <v>5</v>
      </c>
      <c r="W28" s="38">
        <f t="shared" si="2"/>
        <v>11.485700000000001</v>
      </c>
      <c r="X28" s="47"/>
    </row>
    <row r="29" spans="1:24" s="1" customFormat="1" ht="22" customHeight="1" x14ac:dyDescent="0.25">
      <c r="A29" s="18">
        <v>58</v>
      </c>
      <c r="B29" s="19" t="s">
        <v>86</v>
      </c>
      <c r="C29" s="20">
        <v>1943</v>
      </c>
      <c r="D29" s="20">
        <v>1388.3</v>
      </c>
      <c r="E29" s="19">
        <v>1</v>
      </c>
      <c r="F29" s="21">
        <v>2.6974668999999998</v>
      </c>
      <c r="G29" s="21">
        <f t="shared" si="0"/>
        <v>2.6974668999999998</v>
      </c>
      <c r="H29" s="20" t="s">
        <v>58</v>
      </c>
      <c r="I29" s="34">
        <v>3</v>
      </c>
      <c r="J29" s="20" t="s">
        <v>69</v>
      </c>
      <c r="K29" s="20">
        <v>5</v>
      </c>
      <c r="L29" s="35">
        <v>1.0127539999999999</v>
      </c>
      <c r="M29" s="20"/>
      <c r="N29" s="33"/>
      <c r="O29" s="33" t="s">
        <v>44</v>
      </c>
      <c r="P29" s="20"/>
      <c r="Q29" s="20"/>
      <c r="R29" s="44">
        <v>12</v>
      </c>
      <c r="S29" s="40" t="s">
        <v>44</v>
      </c>
      <c r="T29" s="37">
        <f>285+50+30</f>
        <v>365</v>
      </c>
      <c r="U29" s="38">
        <f t="shared" si="1"/>
        <v>984.57541849999996</v>
      </c>
      <c r="V29" s="37">
        <v>5</v>
      </c>
      <c r="W29" s="38">
        <f t="shared" si="2"/>
        <v>13.487334499999999</v>
      </c>
      <c r="X29" s="47"/>
    </row>
    <row r="30" spans="1:24" s="1" customFormat="1" ht="22" customHeight="1" x14ac:dyDescent="0.25">
      <c r="A30" s="18">
        <v>60</v>
      </c>
      <c r="B30" s="19" t="s">
        <v>87</v>
      </c>
      <c r="C30" s="20">
        <v>2177</v>
      </c>
      <c r="D30" s="20">
        <v>1388</v>
      </c>
      <c r="E30" s="19">
        <v>1</v>
      </c>
      <c r="F30" s="21">
        <v>3.0216759999999998</v>
      </c>
      <c r="G30" s="21">
        <f t="shared" si="0"/>
        <v>3.0216759999999998</v>
      </c>
      <c r="H30" s="20" t="s">
        <v>58</v>
      </c>
      <c r="I30" s="34">
        <v>3</v>
      </c>
      <c r="J30" s="20" t="s">
        <v>67</v>
      </c>
      <c r="K30" s="20">
        <v>5</v>
      </c>
      <c r="L30" s="35">
        <v>0.86573999999999995</v>
      </c>
      <c r="M30" s="20"/>
      <c r="N30" s="33"/>
      <c r="O30" s="33" t="s">
        <v>44</v>
      </c>
      <c r="P30" s="20"/>
      <c r="Q30" s="20"/>
      <c r="R30" s="44">
        <v>14</v>
      </c>
      <c r="S30" s="40" t="s">
        <v>44</v>
      </c>
      <c r="T30" s="37">
        <f t="shared" ref="T30:T36" si="4">285+10+50</f>
        <v>345</v>
      </c>
      <c r="U30" s="38">
        <f t="shared" si="1"/>
        <v>1042.47822</v>
      </c>
      <c r="V30" s="37">
        <v>5</v>
      </c>
      <c r="W30" s="38">
        <f t="shared" si="2"/>
        <v>15.108379999999999</v>
      </c>
      <c r="X30" s="47"/>
    </row>
    <row r="31" spans="1:24" s="1" customFormat="1" ht="22" customHeight="1" x14ac:dyDescent="0.25">
      <c r="A31" s="18">
        <v>61</v>
      </c>
      <c r="B31" s="19" t="s">
        <v>88</v>
      </c>
      <c r="C31" s="20">
        <v>2024</v>
      </c>
      <c r="D31" s="20">
        <v>1388</v>
      </c>
      <c r="E31" s="19">
        <v>1</v>
      </c>
      <c r="F31" s="21">
        <v>2.8093119999999998</v>
      </c>
      <c r="G31" s="21">
        <f t="shared" si="0"/>
        <v>2.8093119999999998</v>
      </c>
      <c r="H31" s="20" t="s">
        <v>58</v>
      </c>
      <c r="I31" s="34">
        <v>3</v>
      </c>
      <c r="J31" s="20" t="s">
        <v>69</v>
      </c>
      <c r="K31" s="20">
        <v>5</v>
      </c>
      <c r="L31" s="35">
        <v>2.1397200000000001</v>
      </c>
      <c r="M31" s="20"/>
      <c r="N31" s="33"/>
      <c r="O31" s="33" t="s">
        <v>44</v>
      </c>
      <c r="P31" s="20"/>
      <c r="Q31" s="20"/>
      <c r="R31" s="44">
        <v>15</v>
      </c>
      <c r="S31" s="40" t="s">
        <v>44</v>
      </c>
      <c r="T31" s="37">
        <f>285+50+30</f>
        <v>365</v>
      </c>
      <c r="U31" s="38">
        <f t="shared" si="1"/>
        <v>1025.39888</v>
      </c>
      <c r="V31" s="37">
        <v>5</v>
      </c>
      <c r="W31" s="38">
        <f t="shared" si="2"/>
        <v>14.046559999999999</v>
      </c>
      <c r="X31" s="47"/>
    </row>
    <row r="32" spans="1:24" s="1" customFormat="1" ht="22" customHeight="1" x14ac:dyDescent="0.25">
      <c r="A32" s="18">
        <v>66</v>
      </c>
      <c r="B32" s="19" t="s">
        <v>89</v>
      </c>
      <c r="C32" s="20">
        <v>1809</v>
      </c>
      <c r="D32" s="20">
        <v>1388</v>
      </c>
      <c r="E32" s="19">
        <v>1</v>
      </c>
      <c r="F32" s="21">
        <v>2.5108920000000001</v>
      </c>
      <c r="G32" s="21">
        <f t="shared" si="0"/>
        <v>2.5108920000000001</v>
      </c>
      <c r="H32" s="20" t="s">
        <v>58</v>
      </c>
      <c r="I32" s="34">
        <v>3</v>
      </c>
      <c r="J32" s="20" t="s">
        <v>67</v>
      </c>
      <c r="K32" s="20">
        <v>4</v>
      </c>
      <c r="L32" s="35">
        <v>0.86418499999999998</v>
      </c>
      <c r="M32" s="20"/>
      <c r="N32" s="33"/>
      <c r="O32" s="33" t="s">
        <v>44</v>
      </c>
      <c r="P32" s="20"/>
      <c r="Q32" s="20"/>
      <c r="R32" s="44">
        <v>19</v>
      </c>
      <c r="S32" s="40" t="s">
        <v>44</v>
      </c>
      <c r="T32" s="37">
        <f t="shared" si="4"/>
        <v>345</v>
      </c>
      <c r="U32" s="38">
        <f t="shared" si="1"/>
        <v>866.25774000000001</v>
      </c>
      <c r="V32" s="37">
        <v>5</v>
      </c>
      <c r="W32" s="38">
        <f t="shared" si="2"/>
        <v>12.554460000000001</v>
      </c>
      <c r="X32" s="47"/>
    </row>
    <row r="33" spans="1:24" s="1" customFormat="1" ht="22" customHeight="1" x14ac:dyDescent="0.25">
      <c r="A33" s="18">
        <v>67</v>
      </c>
      <c r="B33" s="19" t="s">
        <v>90</v>
      </c>
      <c r="C33" s="20">
        <v>1765</v>
      </c>
      <c r="D33" s="20">
        <v>1388</v>
      </c>
      <c r="E33" s="19">
        <v>1</v>
      </c>
      <c r="F33" s="21">
        <v>2.4498199999999999</v>
      </c>
      <c r="G33" s="21">
        <f t="shared" si="0"/>
        <v>2.4498199999999999</v>
      </c>
      <c r="H33" s="20" t="s">
        <v>58</v>
      </c>
      <c r="I33" s="34">
        <v>3</v>
      </c>
      <c r="J33" s="20" t="s">
        <v>67</v>
      </c>
      <c r="K33" s="20">
        <v>4</v>
      </c>
      <c r="L33" s="35">
        <v>0.809145</v>
      </c>
      <c r="M33" s="20"/>
      <c r="N33" s="33"/>
      <c r="O33" s="33" t="s">
        <v>44</v>
      </c>
      <c r="P33" s="20"/>
      <c r="Q33" s="20"/>
      <c r="R33" s="44">
        <v>20</v>
      </c>
      <c r="S33" s="40" t="s">
        <v>44</v>
      </c>
      <c r="T33" s="37">
        <f t="shared" si="4"/>
        <v>345</v>
      </c>
      <c r="U33" s="38">
        <f t="shared" si="1"/>
        <v>845.18790000000001</v>
      </c>
      <c r="V33" s="37">
        <v>5</v>
      </c>
      <c r="W33" s="38">
        <f t="shared" si="2"/>
        <v>12.249099999999999</v>
      </c>
      <c r="X33" s="47"/>
    </row>
    <row r="34" spans="1:24" s="1" customFormat="1" ht="22" customHeight="1" x14ac:dyDescent="0.25">
      <c r="A34" s="18">
        <v>68</v>
      </c>
      <c r="B34" s="19" t="s">
        <v>91</v>
      </c>
      <c r="C34" s="20">
        <v>2329</v>
      </c>
      <c r="D34" s="20">
        <v>1388</v>
      </c>
      <c r="E34" s="19">
        <v>1</v>
      </c>
      <c r="F34" s="21">
        <v>3.2326519999999999</v>
      </c>
      <c r="G34" s="21">
        <f t="shared" si="0"/>
        <v>3.2326519999999999</v>
      </c>
      <c r="H34" s="20" t="s">
        <v>58</v>
      </c>
      <c r="I34" s="34">
        <v>3</v>
      </c>
      <c r="J34" s="20" t="s">
        <v>67</v>
      </c>
      <c r="K34" s="20">
        <v>5</v>
      </c>
      <c r="L34" s="35">
        <v>2.96509</v>
      </c>
      <c r="M34" s="20"/>
      <c r="N34" s="33"/>
      <c r="O34" s="33" t="s">
        <v>44</v>
      </c>
      <c r="P34" s="20"/>
      <c r="Q34" s="20"/>
      <c r="R34" s="44">
        <v>21</v>
      </c>
      <c r="S34" s="40" t="s">
        <v>44</v>
      </c>
      <c r="T34" s="37">
        <f t="shared" si="4"/>
        <v>345</v>
      </c>
      <c r="U34" s="38">
        <f t="shared" si="1"/>
        <v>1115.26494</v>
      </c>
      <c r="V34" s="37">
        <v>5</v>
      </c>
      <c r="W34" s="38">
        <f t="shared" si="2"/>
        <v>16.163260000000001</v>
      </c>
      <c r="X34" s="47"/>
    </row>
    <row r="35" spans="1:24" s="1" customFormat="1" ht="22" customHeight="1" x14ac:dyDescent="0.25">
      <c r="A35" s="18">
        <v>69</v>
      </c>
      <c r="B35" s="19" t="s">
        <v>92</v>
      </c>
      <c r="C35" s="20">
        <v>1828</v>
      </c>
      <c r="D35" s="20">
        <v>1388</v>
      </c>
      <c r="E35" s="19">
        <v>1</v>
      </c>
      <c r="F35" s="21">
        <v>2.537264</v>
      </c>
      <c r="G35" s="21">
        <f t="shared" si="0"/>
        <v>2.537264</v>
      </c>
      <c r="H35" s="20" t="s">
        <v>58</v>
      </c>
      <c r="I35" s="34">
        <v>3</v>
      </c>
      <c r="J35" s="20" t="s">
        <v>67</v>
      </c>
      <c r="K35" s="20">
        <v>4</v>
      </c>
      <c r="L35" s="35">
        <v>1.1973279999999999</v>
      </c>
      <c r="M35" s="20"/>
      <c r="N35" s="33"/>
      <c r="O35" s="33" t="s">
        <v>44</v>
      </c>
      <c r="P35" s="20"/>
      <c r="Q35" s="20"/>
      <c r="R35" s="44">
        <v>22</v>
      </c>
      <c r="S35" s="40" t="s">
        <v>44</v>
      </c>
      <c r="T35" s="37">
        <f t="shared" si="4"/>
        <v>345</v>
      </c>
      <c r="U35" s="38">
        <f t="shared" si="1"/>
        <v>875.35608000000002</v>
      </c>
      <c r="V35" s="37">
        <v>5</v>
      </c>
      <c r="W35" s="38">
        <f t="shared" si="2"/>
        <v>12.68632</v>
      </c>
      <c r="X35" s="47"/>
    </row>
    <row r="36" spans="1:24" s="1" customFormat="1" ht="22" customHeight="1" x14ac:dyDescent="0.25">
      <c r="A36" s="18">
        <v>71</v>
      </c>
      <c r="B36" s="19" t="s">
        <v>93</v>
      </c>
      <c r="C36" s="20">
        <v>1808</v>
      </c>
      <c r="D36" s="20">
        <v>1388</v>
      </c>
      <c r="E36" s="19">
        <v>1</v>
      </c>
      <c r="F36" s="21">
        <v>2.5095040000000002</v>
      </c>
      <c r="G36" s="21">
        <f t="shared" si="0"/>
        <v>2.5095040000000002</v>
      </c>
      <c r="H36" s="20" t="s">
        <v>58</v>
      </c>
      <c r="I36" s="34">
        <v>3</v>
      </c>
      <c r="J36" s="20" t="s">
        <v>67</v>
      </c>
      <c r="K36" s="20">
        <v>6</v>
      </c>
      <c r="L36" s="35">
        <v>0.24524000000000001</v>
      </c>
      <c r="M36" s="20"/>
      <c r="N36" s="33"/>
      <c r="O36" s="33" t="s">
        <v>44</v>
      </c>
      <c r="P36" s="20"/>
      <c r="Q36" s="20"/>
      <c r="R36" s="44">
        <v>24</v>
      </c>
      <c r="S36" s="40" t="s">
        <v>44</v>
      </c>
      <c r="T36" s="37">
        <f t="shared" si="4"/>
        <v>345</v>
      </c>
      <c r="U36" s="38">
        <f t="shared" si="1"/>
        <v>865.77888000000007</v>
      </c>
      <c r="V36" s="37">
        <v>5</v>
      </c>
      <c r="W36" s="38">
        <f t="shared" si="2"/>
        <v>12.54752</v>
      </c>
      <c r="X36" s="47"/>
    </row>
    <row r="37" spans="1:24" s="1" customFormat="1" ht="22" customHeight="1" x14ac:dyDescent="0.25">
      <c r="A37" s="18">
        <v>73</v>
      </c>
      <c r="B37" s="19" t="s">
        <v>94</v>
      </c>
      <c r="C37" s="20">
        <v>1502</v>
      </c>
      <c r="D37" s="20">
        <v>1295</v>
      </c>
      <c r="E37" s="19">
        <v>1</v>
      </c>
      <c r="F37" s="21">
        <v>1.94509</v>
      </c>
      <c r="G37" s="21">
        <f t="shared" si="0"/>
        <v>1.94509</v>
      </c>
      <c r="H37" s="20" t="s">
        <v>58</v>
      </c>
      <c r="I37" s="34">
        <v>3</v>
      </c>
      <c r="J37" s="20" t="s">
        <v>68</v>
      </c>
      <c r="K37" s="20">
        <v>4</v>
      </c>
      <c r="L37" s="35"/>
      <c r="M37" s="20"/>
      <c r="N37" s="33" t="s">
        <v>44</v>
      </c>
      <c r="O37" s="33" t="s">
        <v>44</v>
      </c>
      <c r="P37" s="20"/>
      <c r="Q37" s="20"/>
      <c r="R37" s="44">
        <v>26</v>
      </c>
      <c r="S37" s="40" t="s">
        <v>44</v>
      </c>
      <c r="T37" s="37">
        <f t="shared" ref="T37:T41" si="5">285+10</f>
        <v>295</v>
      </c>
      <c r="U37" s="38">
        <f t="shared" si="1"/>
        <v>573.80155000000002</v>
      </c>
      <c r="V37" s="37">
        <v>5</v>
      </c>
      <c r="W37" s="38">
        <f t="shared" si="2"/>
        <v>9.7254500000000004</v>
      </c>
      <c r="X37" s="47"/>
    </row>
    <row r="38" spans="1:24" s="1" customFormat="1" ht="22" customHeight="1" x14ac:dyDescent="0.25">
      <c r="A38" s="18">
        <v>74</v>
      </c>
      <c r="B38" s="19" t="s">
        <v>95</v>
      </c>
      <c r="C38" s="20">
        <v>1808</v>
      </c>
      <c r="D38" s="20">
        <v>1388</v>
      </c>
      <c r="E38" s="19">
        <v>1</v>
      </c>
      <c r="F38" s="21">
        <v>2.5095040000000002</v>
      </c>
      <c r="G38" s="21">
        <f t="shared" si="0"/>
        <v>2.5095040000000002</v>
      </c>
      <c r="H38" s="20" t="s">
        <v>58</v>
      </c>
      <c r="I38" s="34">
        <v>3</v>
      </c>
      <c r="J38" s="20" t="s">
        <v>67</v>
      </c>
      <c r="K38" s="20">
        <v>6</v>
      </c>
      <c r="L38" s="35"/>
      <c r="M38" s="20"/>
      <c r="N38" s="33"/>
      <c r="O38" s="33" t="s">
        <v>44</v>
      </c>
      <c r="P38" s="20"/>
      <c r="Q38" s="20"/>
      <c r="R38" s="44">
        <v>27</v>
      </c>
      <c r="S38" s="40" t="s">
        <v>44</v>
      </c>
      <c r="T38" s="37">
        <f>285+10+50</f>
        <v>345</v>
      </c>
      <c r="U38" s="38">
        <f t="shared" si="1"/>
        <v>865.77888000000007</v>
      </c>
      <c r="V38" s="37">
        <v>5</v>
      </c>
      <c r="W38" s="38">
        <f t="shared" si="2"/>
        <v>12.54752</v>
      </c>
      <c r="X38" s="47"/>
    </row>
    <row r="39" spans="1:24" s="1" customFormat="1" ht="22" customHeight="1" x14ac:dyDescent="0.25">
      <c r="A39" s="18">
        <v>75</v>
      </c>
      <c r="B39" s="19" t="s">
        <v>96</v>
      </c>
      <c r="C39" s="20">
        <v>1759</v>
      </c>
      <c r="D39" s="20">
        <v>1011</v>
      </c>
      <c r="E39" s="19">
        <v>1</v>
      </c>
      <c r="F39" s="21">
        <v>1.778349</v>
      </c>
      <c r="G39" s="21">
        <f t="shared" si="0"/>
        <v>1.778349</v>
      </c>
      <c r="H39" s="20" t="s">
        <v>58</v>
      </c>
      <c r="I39" s="34">
        <v>3</v>
      </c>
      <c r="J39" s="20" t="s">
        <v>68</v>
      </c>
      <c r="K39" s="20">
        <v>4</v>
      </c>
      <c r="L39" s="35"/>
      <c r="M39" s="20"/>
      <c r="N39" s="33"/>
      <c r="O39" s="33" t="s">
        <v>44</v>
      </c>
      <c r="P39" s="20"/>
      <c r="Q39" s="20"/>
      <c r="R39" s="44">
        <v>28</v>
      </c>
      <c r="S39" s="40" t="s">
        <v>44</v>
      </c>
      <c r="T39" s="37">
        <f t="shared" si="5"/>
        <v>295</v>
      </c>
      <c r="U39" s="38">
        <f t="shared" si="1"/>
        <v>524.61295499999994</v>
      </c>
      <c r="V39" s="37">
        <v>5</v>
      </c>
      <c r="W39" s="38">
        <f t="shared" si="2"/>
        <v>8.8917450000000002</v>
      </c>
      <c r="X39" s="47"/>
    </row>
    <row r="40" spans="1:24" s="1" customFormat="1" ht="22" customHeight="1" x14ac:dyDescent="0.25">
      <c r="A40" s="18">
        <v>76</v>
      </c>
      <c r="B40" s="19" t="s">
        <v>97</v>
      </c>
      <c r="C40" s="20">
        <v>634</v>
      </c>
      <c r="D40" s="20">
        <v>1679</v>
      </c>
      <c r="E40" s="19">
        <v>1</v>
      </c>
      <c r="F40" s="21">
        <v>1.064486</v>
      </c>
      <c r="G40" s="21">
        <f t="shared" si="0"/>
        <v>1.064486</v>
      </c>
      <c r="H40" s="20" t="s">
        <v>58</v>
      </c>
      <c r="I40" s="34">
        <v>3</v>
      </c>
      <c r="J40" s="20" t="s">
        <v>42</v>
      </c>
      <c r="K40" s="20">
        <v>7</v>
      </c>
      <c r="L40" s="35"/>
      <c r="M40" s="20"/>
      <c r="N40" s="33" t="s">
        <v>44</v>
      </c>
      <c r="O40" s="33" t="s">
        <v>44</v>
      </c>
      <c r="P40" s="20"/>
      <c r="Q40" s="20"/>
      <c r="R40" s="44">
        <v>29</v>
      </c>
      <c r="S40" s="40" t="s">
        <v>44</v>
      </c>
      <c r="T40" s="37">
        <f t="shared" si="5"/>
        <v>295</v>
      </c>
      <c r="U40" s="38">
        <f t="shared" si="1"/>
        <v>314.02337</v>
      </c>
      <c r="V40" s="37">
        <v>5</v>
      </c>
      <c r="W40" s="38">
        <f t="shared" si="2"/>
        <v>5.3224300000000007</v>
      </c>
      <c r="X40" s="47"/>
    </row>
    <row r="41" spans="1:24" s="1" customFormat="1" ht="22" customHeight="1" x14ac:dyDescent="0.25">
      <c r="A41" s="18">
        <v>78</v>
      </c>
      <c r="B41" s="19" t="s">
        <v>98</v>
      </c>
      <c r="C41" s="20">
        <v>1105</v>
      </c>
      <c r="D41" s="20">
        <v>1405</v>
      </c>
      <c r="E41" s="19">
        <v>1</v>
      </c>
      <c r="F41" s="21">
        <v>1.5525249999999999</v>
      </c>
      <c r="G41" s="21">
        <f t="shared" si="0"/>
        <v>1.5525249999999999</v>
      </c>
      <c r="H41" s="20" t="s">
        <v>58</v>
      </c>
      <c r="I41" s="34">
        <v>3</v>
      </c>
      <c r="J41" s="20" t="s">
        <v>42</v>
      </c>
      <c r="K41" s="20">
        <v>6</v>
      </c>
      <c r="L41" s="35"/>
      <c r="M41" s="20"/>
      <c r="N41" s="33" t="s">
        <v>44</v>
      </c>
      <c r="O41" s="33" t="s">
        <v>44</v>
      </c>
      <c r="P41" s="20"/>
      <c r="Q41" s="20"/>
      <c r="R41" s="44">
        <v>31</v>
      </c>
      <c r="S41" s="40" t="s">
        <v>44</v>
      </c>
      <c r="T41" s="37">
        <f t="shared" si="5"/>
        <v>295</v>
      </c>
      <c r="U41" s="38">
        <f t="shared" si="1"/>
        <v>457.99487499999998</v>
      </c>
      <c r="V41" s="37">
        <v>5</v>
      </c>
      <c r="W41" s="38">
        <f t="shared" si="2"/>
        <v>7.7626249999999999</v>
      </c>
      <c r="X41" s="47"/>
    </row>
    <row r="42" spans="1:24" s="1" customFormat="1" ht="22" customHeight="1" x14ac:dyDescent="0.25">
      <c r="A42" s="18">
        <v>85</v>
      </c>
      <c r="B42" s="19" t="s">
        <v>99</v>
      </c>
      <c r="C42" s="20">
        <v>1415.7</v>
      </c>
      <c r="D42" s="20">
        <v>1530</v>
      </c>
      <c r="E42" s="19">
        <v>1</v>
      </c>
      <c r="F42" s="21">
        <v>2.1660210000000002</v>
      </c>
      <c r="G42" s="21">
        <f t="shared" si="0"/>
        <v>2.1660210000000002</v>
      </c>
      <c r="H42" s="20" t="s">
        <v>58</v>
      </c>
      <c r="I42" s="34">
        <v>3</v>
      </c>
      <c r="J42" s="20" t="s">
        <v>61</v>
      </c>
      <c r="K42" s="20">
        <v>6</v>
      </c>
      <c r="L42" s="35">
        <v>3.0605500000000001</v>
      </c>
      <c r="M42" s="20"/>
      <c r="N42" s="33">
        <v>1.5</v>
      </c>
      <c r="O42" s="33" t="s">
        <v>44</v>
      </c>
      <c r="P42" s="20"/>
      <c r="Q42" s="20"/>
      <c r="R42" s="44">
        <v>38</v>
      </c>
      <c r="S42" s="40" t="s">
        <v>44</v>
      </c>
      <c r="T42" s="37">
        <f>285+30+10</f>
        <v>325</v>
      </c>
      <c r="U42" s="38">
        <f t="shared" si="1"/>
        <v>703.95682500000009</v>
      </c>
      <c r="V42" s="37">
        <v>5</v>
      </c>
      <c r="W42" s="38">
        <f t="shared" si="2"/>
        <v>10.830105000000001</v>
      </c>
      <c r="X42" s="47"/>
    </row>
    <row r="43" spans="1:24" s="1" customFormat="1" ht="22" customHeight="1" x14ac:dyDescent="0.25">
      <c r="A43" s="18">
        <v>86</v>
      </c>
      <c r="B43" s="19" t="s">
        <v>100</v>
      </c>
      <c r="C43" s="20">
        <v>1808</v>
      </c>
      <c r="D43" s="20">
        <v>1388</v>
      </c>
      <c r="E43" s="19">
        <v>1</v>
      </c>
      <c r="F43" s="21">
        <v>2.5095040000000002</v>
      </c>
      <c r="G43" s="21">
        <f t="shared" si="0"/>
        <v>2.5095040000000002</v>
      </c>
      <c r="H43" s="20" t="s">
        <v>58</v>
      </c>
      <c r="I43" s="34">
        <v>3</v>
      </c>
      <c r="J43" s="20" t="s">
        <v>67</v>
      </c>
      <c r="K43" s="20">
        <v>4</v>
      </c>
      <c r="L43" s="35">
        <v>0.421039</v>
      </c>
      <c r="M43" s="20"/>
      <c r="N43" s="33"/>
      <c r="O43" s="33" t="s">
        <v>44</v>
      </c>
      <c r="P43" s="20"/>
      <c r="Q43" s="20"/>
      <c r="R43" s="44">
        <v>39</v>
      </c>
      <c r="S43" s="40" t="s">
        <v>44</v>
      </c>
      <c r="T43" s="37">
        <f>285+10+50</f>
        <v>345</v>
      </c>
      <c r="U43" s="38">
        <f t="shared" si="1"/>
        <v>865.77888000000007</v>
      </c>
      <c r="V43" s="37">
        <v>5</v>
      </c>
      <c r="W43" s="38">
        <f t="shared" si="2"/>
        <v>12.54752</v>
      </c>
      <c r="X43" s="47"/>
    </row>
    <row r="44" spans="1:24" s="1" customFormat="1" ht="22" customHeight="1" x14ac:dyDescent="0.25">
      <c r="A44" s="18">
        <v>87</v>
      </c>
      <c r="B44" s="19" t="s">
        <v>101</v>
      </c>
      <c r="C44" s="20">
        <v>1808</v>
      </c>
      <c r="D44" s="20">
        <v>1702</v>
      </c>
      <c r="E44" s="19">
        <v>1</v>
      </c>
      <c r="F44" s="21">
        <v>3.077216</v>
      </c>
      <c r="G44" s="21">
        <f t="shared" si="0"/>
        <v>3.077216</v>
      </c>
      <c r="H44" s="20" t="s">
        <v>58</v>
      </c>
      <c r="I44" s="34">
        <v>3</v>
      </c>
      <c r="J44" s="20" t="s">
        <v>67</v>
      </c>
      <c r="K44" s="20">
        <v>4</v>
      </c>
      <c r="L44" s="35"/>
      <c r="M44" s="20"/>
      <c r="N44" s="33">
        <v>1.8</v>
      </c>
      <c r="O44" s="33" t="s">
        <v>44</v>
      </c>
      <c r="P44" s="20"/>
      <c r="Q44" s="20"/>
      <c r="R44" s="44">
        <v>40</v>
      </c>
      <c r="S44" s="40" t="s">
        <v>44</v>
      </c>
      <c r="T44" s="37">
        <f>285+10+50+30</f>
        <v>375</v>
      </c>
      <c r="U44" s="38">
        <f t="shared" si="1"/>
        <v>1153.9559999999999</v>
      </c>
      <c r="V44" s="37">
        <v>5</v>
      </c>
      <c r="W44" s="38">
        <f t="shared" si="2"/>
        <v>15.38608</v>
      </c>
      <c r="X44" s="47"/>
    </row>
    <row r="45" spans="1:24" s="1" customFormat="1" ht="22" customHeight="1" x14ac:dyDescent="0.25">
      <c r="A45" s="18">
        <v>89</v>
      </c>
      <c r="B45" s="19" t="s">
        <v>102</v>
      </c>
      <c r="C45" s="20">
        <v>1808</v>
      </c>
      <c r="D45" s="20">
        <v>1348</v>
      </c>
      <c r="E45" s="19">
        <v>1</v>
      </c>
      <c r="F45" s="21">
        <v>2.4371839999999998</v>
      </c>
      <c r="G45" s="21">
        <f t="shared" si="0"/>
        <v>2.4371839999999998</v>
      </c>
      <c r="H45" s="20" t="s">
        <v>58</v>
      </c>
      <c r="I45" s="34">
        <v>3</v>
      </c>
      <c r="J45" s="20" t="s">
        <v>67</v>
      </c>
      <c r="K45" s="20">
        <v>3</v>
      </c>
      <c r="L45" s="35"/>
      <c r="M45" s="20"/>
      <c r="N45" s="33"/>
      <c r="O45" s="33" t="s">
        <v>44</v>
      </c>
      <c r="P45" s="20"/>
      <c r="Q45" s="20"/>
      <c r="R45" s="44">
        <v>42</v>
      </c>
      <c r="S45" s="40" t="s">
        <v>44</v>
      </c>
      <c r="T45" s="37">
        <f>285+10+50</f>
        <v>345</v>
      </c>
      <c r="U45" s="38">
        <f t="shared" si="1"/>
        <v>840.8284799999999</v>
      </c>
      <c r="V45" s="37">
        <v>5</v>
      </c>
      <c r="W45" s="38">
        <f t="shared" si="2"/>
        <v>12.185919999999999</v>
      </c>
      <c r="X45" s="47"/>
    </row>
    <row r="46" spans="1:24" s="1" customFormat="1" ht="22" customHeight="1" x14ac:dyDescent="0.25">
      <c r="A46" s="18">
        <v>90</v>
      </c>
      <c r="B46" s="19" t="s">
        <v>103</v>
      </c>
      <c r="C46" s="20">
        <v>1730</v>
      </c>
      <c r="D46" s="20">
        <v>994</v>
      </c>
      <c r="E46" s="19">
        <v>1</v>
      </c>
      <c r="F46" s="21">
        <v>1.7196199999999999</v>
      </c>
      <c r="G46" s="21">
        <f t="shared" si="0"/>
        <v>1.7196199999999999</v>
      </c>
      <c r="H46" s="20" t="s">
        <v>58</v>
      </c>
      <c r="I46" s="34">
        <v>3</v>
      </c>
      <c r="J46" s="20" t="s">
        <v>42</v>
      </c>
      <c r="K46" s="20">
        <v>4</v>
      </c>
      <c r="L46" s="35"/>
      <c r="M46" s="20"/>
      <c r="N46" s="33" t="s">
        <v>44</v>
      </c>
      <c r="O46" s="33" t="s">
        <v>44</v>
      </c>
      <c r="P46" s="20"/>
      <c r="Q46" s="20"/>
      <c r="R46" s="44">
        <v>43</v>
      </c>
      <c r="S46" s="40" t="s">
        <v>44</v>
      </c>
      <c r="T46" s="37">
        <f>285+10</f>
        <v>295</v>
      </c>
      <c r="U46" s="38">
        <f t="shared" si="1"/>
        <v>507.28789999999998</v>
      </c>
      <c r="V46" s="37">
        <v>5</v>
      </c>
      <c r="W46" s="38">
        <f t="shared" si="2"/>
        <v>8.5980999999999987</v>
      </c>
      <c r="X46" s="47"/>
    </row>
    <row r="47" spans="1:24" s="1" customFormat="1" ht="22" customHeight="1" x14ac:dyDescent="0.25">
      <c r="A47" s="18">
        <v>96</v>
      </c>
      <c r="B47" s="19" t="s">
        <v>104</v>
      </c>
      <c r="C47" s="20">
        <v>2666</v>
      </c>
      <c r="D47" s="20">
        <v>1388</v>
      </c>
      <c r="E47" s="19">
        <v>1</v>
      </c>
      <c r="F47" s="21">
        <v>3.7004079999999999</v>
      </c>
      <c r="G47" s="21">
        <f t="shared" si="0"/>
        <v>3.7004079999999999</v>
      </c>
      <c r="H47" s="20" t="s">
        <v>58</v>
      </c>
      <c r="I47" s="34">
        <v>3</v>
      </c>
      <c r="J47" s="20" t="s">
        <v>69</v>
      </c>
      <c r="K47" s="20">
        <v>6</v>
      </c>
      <c r="L47" s="35">
        <v>3.1959520000000001</v>
      </c>
      <c r="M47" s="20"/>
      <c r="N47" s="33"/>
      <c r="O47" s="33" t="s">
        <v>44</v>
      </c>
      <c r="P47" s="20"/>
      <c r="Q47" s="20"/>
      <c r="R47" s="44">
        <v>49</v>
      </c>
      <c r="S47" s="40" t="s">
        <v>44</v>
      </c>
      <c r="T47" s="37">
        <f t="shared" ref="T47:T51" si="6">285+30+50</f>
        <v>365</v>
      </c>
      <c r="U47" s="38">
        <f t="shared" si="1"/>
        <v>1350.6489199999999</v>
      </c>
      <c r="V47" s="37">
        <v>5</v>
      </c>
      <c r="W47" s="38">
        <f t="shared" si="2"/>
        <v>18.502040000000001</v>
      </c>
      <c r="X47" s="47"/>
    </row>
    <row r="48" spans="1:24" s="1" customFormat="1" ht="22" customHeight="1" x14ac:dyDescent="0.25">
      <c r="A48" s="18">
        <v>97</v>
      </c>
      <c r="B48" s="19" t="s">
        <v>105</v>
      </c>
      <c r="C48" s="20">
        <v>646</v>
      </c>
      <c r="D48" s="20">
        <v>1559</v>
      </c>
      <c r="E48" s="19">
        <v>1</v>
      </c>
      <c r="F48" s="21">
        <v>1.0071140000000001</v>
      </c>
      <c r="G48" s="21">
        <f t="shared" si="0"/>
        <v>1.0071140000000001</v>
      </c>
      <c r="H48" s="20" t="s">
        <v>58</v>
      </c>
      <c r="I48" s="34">
        <v>3</v>
      </c>
      <c r="J48" s="20" t="s">
        <v>69</v>
      </c>
      <c r="K48" s="20">
        <v>5</v>
      </c>
      <c r="L48" s="35">
        <v>4.3850600000000002</v>
      </c>
      <c r="M48" s="20"/>
      <c r="N48" s="33"/>
      <c r="O48" s="33" t="s">
        <v>44</v>
      </c>
      <c r="P48" s="20"/>
      <c r="Q48" s="20"/>
      <c r="R48" s="44">
        <v>50</v>
      </c>
      <c r="S48" s="40" t="s">
        <v>44</v>
      </c>
      <c r="T48" s="37">
        <f t="shared" si="6"/>
        <v>365</v>
      </c>
      <c r="U48" s="38">
        <f t="shared" si="1"/>
        <v>367.59661</v>
      </c>
      <c r="V48" s="37">
        <v>5</v>
      </c>
      <c r="W48" s="38">
        <f t="shared" si="2"/>
        <v>5.0355699999999999</v>
      </c>
      <c r="X48" s="47"/>
    </row>
    <row r="49" spans="1:24" s="1" customFormat="1" ht="22" customHeight="1" x14ac:dyDescent="0.25">
      <c r="A49" s="18">
        <v>98</v>
      </c>
      <c r="B49" s="19" t="s">
        <v>106</v>
      </c>
      <c r="C49" s="20">
        <v>646</v>
      </c>
      <c r="D49" s="20">
        <v>1337</v>
      </c>
      <c r="E49" s="19">
        <v>1</v>
      </c>
      <c r="F49" s="21">
        <v>0.86370199999999997</v>
      </c>
      <c r="G49" s="21">
        <f t="shared" si="0"/>
        <v>0.86370199999999997</v>
      </c>
      <c r="H49" s="20" t="s">
        <v>58</v>
      </c>
      <c r="I49" s="34">
        <v>3</v>
      </c>
      <c r="J49" s="20" t="s">
        <v>69</v>
      </c>
      <c r="K49" s="20">
        <v>5</v>
      </c>
      <c r="L49" s="35">
        <v>1.8460099999999999</v>
      </c>
      <c r="M49" s="20"/>
      <c r="N49" s="33"/>
      <c r="O49" s="33" t="s">
        <v>44</v>
      </c>
      <c r="P49" s="20"/>
      <c r="Q49" s="20"/>
      <c r="R49" s="44">
        <v>51</v>
      </c>
      <c r="S49" s="40" t="s">
        <v>44</v>
      </c>
      <c r="T49" s="37">
        <f t="shared" si="6"/>
        <v>365</v>
      </c>
      <c r="U49" s="38">
        <f t="shared" si="1"/>
        <v>315.25122999999996</v>
      </c>
      <c r="V49" s="37">
        <v>5</v>
      </c>
      <c r="W49" s="38">
        <f t="shared" si="2"/>
        <v>4.3185099999999998</v>
      </c>
      <c r="X49" s="47"/>
    </row>
    <row r="50" spans="1:24" s="1" customFormat="1" ht="22" customHeight="1" x14ac:dyDescent="0.25">
      <c r="A50" s="18">
        <v>99</v>
      </c>
      <c r="B50" s="19" t="s">
        <v>107</v>
      </c>
      <c r="C50" s="20">
        <v>646</v>
      </c>
      <c r="D50" s="20">
        <v>1724</v>
      </c>
      <c r="E50" s="19">
        <v>1</v>
      </c>
      <c r="F50" s="21">
        <v>1.113704</v>
      </c>
      <c r="G50" s="21">
        <f t="shared" si="0"/>
        <v>1.113704</v>
      </c>
      <c r="H50" s="20" t="s">
        <v>58</v>
      </c>
      <c r="I50" s="34">
        <v>3</v>
      </c>
      <c r="J50" s="20" t="s">
        <v>69</v>
      </c>
      <c r="K50" s="20">
        <v>5</v>
      </c>
      <c r="L50" s="35">
        <v>4.9008599999999998</v>
      </c>
      <c r="M50" s="20"/>
      <c r="N50" s="33"/>
      <c r="O50" s="33" t="s">
        <v>44</v>
      </c>
      <c r="P50" s="20"/>
      <c r="Q50" s="20"/>
      <c r="R50" s="44">
        <v>52</v>
      </c>
      <c r="S50" s="40" t="s">
        <v>44</v>
      </c>
      <c r="T50" s="37">
        <f t="shared" si="6"/>
        <v>365</v>
      </c>
      <c r="U50" s="38">
        <f t="shared" si="1"/>
        <v>406.50196</v>
      </c>
      <c r="V50" s="37">
        <v>5</v>
      </c>
      <c r="W50" s="38">
        <f t="shared" si="2"/>
        <v>5.5685200000000004</v>
      </c>
      <c r="X50" s="47"/>
    </row>
    <row r="51" spans="1:24" s="1" customFormat="1" ht="22" customHeight="1" x14ac:dyDescent="0.25">
      <c r="A51" s="18">
        <v>100</v>
      </c>
      <c r="B51" s="19" t="s">
        <v>108</v>
      </c>
      <c r="C51" s="20">
        <v>1803</v>
      </c>
      <c r="D51" s="20">
        <v>1398</v>
      </c>
      <c r="E51" s="19">
        <v>1</v>
      </c>
      <c r="F51" s="21">
        <v>2.520594</v>
      </c>
      <c r="G51" s="21">
        <f t="shared" si="0"/>
        <v>2.520594</v>
      </c>
      <c r="H51" s="20" t="s">
        <v>58</v>
      </c>
      <c r="I51" s="34">
        <v>3</v>
      </c>
      <c r="J51" s="20" t="s">
        <v>69</v>
      </c>
      <c r="K51" s="20">
        <v>8</v>
      </c>
      <c r="L51" s="35">
        <v>7.6263699999999996</v>
      </c>
      <c r="M51" s="20"/>
      <c r="N51" s="33"/>
      <c r="O51" s="33" t="s">
        <v>44</v>
      </c>
      <c r="P51" s="20"/>
      <c r="Q51" s="20"/>
      <c r="R51" s="44">
        <v>53</v>
      </c>
      <c r="S51" s="40" t="s">
        <v>44</v>
      </c>
      <c r="T51" s="37">
        <f t="shared" si="6"/>
        <v>365</v>
      </c>
      <c r="U51" s="38">
        <f t="shared" si="1"/>
        <v>920.01680999999996</v>
      </c>
      <c r="V51" s="37">
        <v>5</v>
      </c>
      <c r="W51" s="38">
        <f t="shared" si="2"/>
        <v>12.602969999999999</v>
      </c>
      <c r="X51" s="47"/>
    </row>
    <row r="52" spans="1:24" s="1" customFormat="1" ht="22" customHeight="1" x14ac:dyDescent="0.25">
      <c r="A52" s="18">
        <v>101</v>
      </c>
      <c r="B52" s="19" t="s">
        <v>109</v>
      </c>
      <c r="C52" s="20">
        <v>1803</v>
      </c>
      <c r="D52" s="20">
        <v>1574</v>
      </c>
      <c r="E52" s="19">
        <v>1</v>
      </c>
      <c r="F52" s="21">
        <v>2.8379219999999998</v>
      </c>
      <c r="G52" s="21">
        <f t="shared" si="0"/>
        <v>2.8379219999999998</v>
      </c>
      <c r="H52" s="20" t="s">
        <v>58</v>
      </c>
      <c r="I52" s="34">
        <v>3</v>
      </c>
      <c r="J52" s="20" t="s">
        <v>69</v>
      </c>
      <c r="K52" s="20">
        <v>8</v>
      </c>
      <c r="L52" s="35">
        <v>8.7347999999999999</v>
      </c>
      <c r="M52" s="20"/>
      <c r="N52" s="33">
        <v>1.6</v>
      </c>
      <c r="O52" s="33" t="s">
        <v>44</v>
      </c>
      <c r="P52" s="20"/>
      <c r="Q52" s="20"/>
      <c r="R52" s="44">
        <v>54</v>
      </c>
      <c r="S52" s="40" t="s">
        <v>44</v>
      </c>
      <c r="T52" s="37">
        <f>285+30+50+20</f>
        <v>385</v>
      </c>
      <c r="U52" s="38">
        <f t="shared" si="1"/>
        <v>1092.59997</v>
      </c>
      <c r="V52" s="37">
        <v>5</v>
      </c>
      <c r="W52" s="38">
        <f t="shared" si="2"/>
        <v>14.189609999999998</v>
      </c>
      <c r="X52" s="47"/>
    </row>
    <row r="53" spans="1:24" s="1" customFormat="1" ht="22" customHeight="1" x14ac:dyDescent="0.25">
      <c r="A53" s="18">
        <v>102</v>
      </c>
      <c r="B53" s="19" t="s">
        <v>110</v>
      </c>
      <c r="C53" s="20">
        <v>1803</v>
      </c>
      <c r="D53" s="20">
        <v>1228</v>
      </c>
      <c r="E53" s="19">
        <v>1</v>
      </c>
      <c r="F53" s="21">
        <v>2.2140840000000002</v>
      </c>
      <c r="G53" s="21">
        <f t="shared" si="0"/>
        <v>2.2140840000000002</v>
      </c>
      <c r="H53" s="20" t="s">
        <v>58</v>
      </c>
      <c r="I53" s="34">
        <v>3</v>
      </c>
      <c r="J53" s="20" t="s">
        <v>69</v>
      </c>
      <c r="K53" s="20">
        <v>8</v>
      </c>
      <c r="L53" s="35">
        <v>2.92381</v>
      </c>
      <c r="M53" s="20"/>
      <c r="N53" s="33" t="s">
        <v>44</v>
      </c>
      <c r="O53" s="33" t="s">
        <v>44</v>
      </c>
      <c r="P53" s="20"/>
      <c r="Q53" s="20"/>
      <c r="R53" s="44">
        <v>55</v>
      </c>
      <c r="S53" s="40" t="s">
        <v>44</v>
      </c>
      <c r="T53" s="37">
        <f t="shared" ref="T53:T55" si="7">285+30+50</f>
        <v>365</v>
      </c>
      <c r="U53" s="38">
        <f t="shared" si="1"/>
        <v>808.14066000000003</v>
      </c>
      <c r="V53" s="37">
        <v>5</v>
      </c>
      <c r="W53" s="38">
        <f t="shared" si="2"/>
        <v>11.07042</v>
      </c>
      <c r="X53" s="47"/>
    </row>
    <row r="54" spans="1:24" s="1" customFormat="1" ht="22" customHeight="1" x14ac:dyDescent="0.25">
      <c r="A54" s="18">
        <v>103</v>
      </c>
      <c r="B54" s="19" t="s">
        <v>111</v>
      </c>
      <c r="C54" s="20">
        <v>1803</v>
      </c>
      <c r="D54" s="20">
        <v>1046</v>
      </c>
      <c r="E54" s="19">
        <v>1</v>
      </c>
      <c r="F54" s="21">
        <v>1.8859379999999999</v>
      </c>
      <c r="G54" s="21">
        <f t="shared" si="0"/>
        <v>1.8859379999999999</v>
      </c>
      <c r="H54" s="20" t="s">
        <v>58</v>
      </c>
      <c r="I54" s="34">
        <v>3</v>
      </c>
      <c r="J54" s="20" t="s">
        <v>69</v>
      </c>
      <c r="K54" s="20">
        <v>8</v>
      </c>
      <c r="L54" s="35">
        <v>5.7309099999999997</v>
      </c>
      <c r="M54" s="20"/>
      <c r="N54" s="33" t="s">
        <v>44</v>
      </c>
      <c r="O54" s="33" t="s">
        <v>44</v>
      </c>
      <c r="P54" s="20"/>
      <c r="Q54" s="20"/>
      <c r="R54" s="44">
        <v>56</v>
      </c>
      <c r="S54" s="40" t="s">
        <v>44</v>
      </c>
      <c r="T54" s="37">
        <f t="shared" si="7"/>
        <v>365</v>
      </c>
      <c r="U54" s="38">
        <f t="shared" si="1"/>
        <v>688.36736999999994</v>
      </c>
      <c r="V54" s="37">
        <v>5</v>
      </c>
      <c r="W54" s="38">
        <f t="shared" si="2"/>
        <v>9.429689999999999</v>
      </c>
      <c r="X54" s="47"/>
    </row>
    <row r="55" spans="1:24" s="1" customFormat="1" ht="22" customHeight="1" x14ac:dyDescent="0.25">
      <c r="A55" s="18">
        <v>104</v>
      </c>
      <c r="B55" s="19" t="s">
        <v>112</v>
      </c>
      <c r="C55" s="20">
        <v>1803</v>
      </c>
      <c r="D55" s="20">
        <v>1353</v>
      </c>
      <c r="E55" s="19">
        <v>1</v>
      </c>
      <c r="F55" s="21">
        <v>2.4394589999999998</v>
      </c>
      <c r="G55" s="21">
        <f t="shared" si="0"/>
        <v>2.4394589999999998</v>
      </c>
      <c r="H55" s="20" t="s">
        <v>58</v>
      </c>
      <c r="I55" s="34">
        <v>3</v>
      </c>
      <c r="J55" s="20" t="s">
        <v>69</v>
      </c>
      <c r="K55" s="20">
        <v>8</v>
      </c>
      <c r="L55" s="35">
        <v>7.2881900000000002</v>
      </c>
      <c r="M55" s="20"/>
      <c r="N55" s="33"/>
      <c r="O55" s="33" t="s">
        <v>44</v>
      </c>
      <c r="P55" s="20"/>
      <c r="Q55" s="20"/>
      <c r="R55" s="44">
        <v>57</v>
      </c>
      <c r="S55" s="40" t="s">
        <v>44</v>
      </c>
      <c r="T55" s="37">
        <f t="shared" si="7"/>
        <v>365</v>
      </c>
      <c r="U55" s="38">
        <f t="shared" si="1"/>
        <v>890.40253499999994</v>
      </c>
      <c r="V55" s="37">
        <v>5</v>
      </c>
      <c r="W55" s="38">
        <f t="shared" si="2"/>
        <v>12.197294999999999</v>
      </c>
      <c r="X55" s="47"/>
    </row>
    <row r="56" spans="1:24" s="1" customFormat="1" ht="22" customHeight="1" x14ac:dyDescent="0.25">
      <c r="A56" s="18">
        <v>105</v>
      </c>
      <c r="B56" s="19" t="s">
        <v>113</v>
      </c>
      <c r="C56" s="20">
        <v>1803</v>
      </c>
      <c r="D56" s="20">
        <v>1748</v>
      </c>
      <c r="E56" s="19">
        <v>1</v>
      </c>
      <c r="F56" s="21">
        <v>3.1516440000000001</v>
      </c>
      <c r="G56" s="21">
        <f t="shared" si="0"/>
        <v>3.1516440000000001</v>
      </c>
      <c r="H56" s="20" t="s">
        <v>58</v>
      </c>
      <c r="I56" s="34">
        <v>3</v>
      </c>
      <c r="J56" s="20" t="s">
        <v>69</v>
      </c>
      <c r="K56" s="20">
        <v>8</v>
      </c>
      <c r="L56" s="35">
        <v>9.8329900000000006</v>
      </c>
      <c r="M56" s="20"/>
      <c r="N56" s="33">
        <v>1.8</v>
      </c>
      <c r="O56" s="33" t="s">
        <v>44</v>
      </c>
      <c r="P56" s="20"/>
      <c r="Q56" s="20"/>
      <c r="R56" s="44">
        <v>58</v>
      </c>
      <c r="S56" s="40" t="s">
        <v>44</v>
      </c>
      <c r="T56" s="37">
        <f>285+30+50+30</f>
        <v>395</v>
      </c>
      <c r="U56" s="38">
        <f t="shared" si="1"/>
        <v>1244.8993800000001</v>
      </c>
      <c r="V56" s="37">
        <v>5</v>
      </c>
      <c r="W56" s="38">
        <f t="shared" si="2"/>
        <v>15.758220000000001</v>
      </c>
      <c r="X56" s="47"/>
    </row>
    <row r="57" spans="1:24" s="1" customFormat="1" ht="22" customHeight="1" x14ac:dyDescent="0.25">
      <c r="A57" s="18">
        <v>107</v>
      </c>
      <c r="B57" s="19" t="s">
        <v>114</v>
      </c>
      <c r="C57" s="20">
        <v>2153</v>
      </c>
      <c r="D57" s="20">
        <v>1702</v>
      </c>
      <c r="E57" s="19">
        <v>1</v>
      </c>
      <c r="F57" s="21">
        <v>3.6644060000000001</v>
      </c>
      <c r="G57" s="21">
        <f t="shared" si="0"/>
        <v>3.6644060000000001</v>
      </c>
      <c r="H57" s="20" t="s">
        <v>58</v>
      </c>
      <c r="I57" s="34">
        <v>3</v>
      </c>
      <c r="J57" s="20" t="s">
        <v>69</v>
      </c>
      <c r="K57" s="20">
        <v>8</v>
      </c>
      <c r="L57" s="35">
        <v>7.4060600000000001</v>
      </c>
      <c r="M57" s="20"/>
      <c r="N57" s="33">
        <v>1.8</v>
      </c>
      <c r="O57" s="33" t="s">
        <v>44</v>
      </c>
      <c r="P57" s="20"/>
      <c r="Q57" s="20"/>
      <c r="R57" s="44">
        <v>60</v>
      </c>
      <c r="S57" s="40" t="s">
        <v>44</v>
      </c>
      <c r="T57" s="37">
        <f>285+30+50+30</f>
        <v>395</v>
      </c>
      <c r="U57" s="38">
        <f t="shared" si="1"/>
        <v>1447.44037</v>
      </c>
      <c r="V57" s="37">
        <v>5</v>
      </c>
      <c r="W57" s="38">
        <f t="shared" si="2"/>
        <v>18.322030000000002</v>
      </c>
      <c r="X57" s="47"/>
    </row>
    <row r="58" spans="1:24" s="1" customFormat="1" ht="22" customHeight="1" x14ac:dyDescent="0.25">
      <c r="A58" s="18">
        <v>108</v>
      </c>
      <c r="B58" s="19" t="s">
        <v>115</v>
      </c>
      <c r="C58" s="20">
        <v>2153</v>
      </c>
      <c r="D58" s="20">
        <v>1419</v>
      </c>
      <c r="E58" s="19">
        <v>1</v>
      </c>
      <c r="F58" s="21">
        <v>3.055107</v>
      </c>
      <c r="G58" s="21">
        <f t="shared" si="0"/>
        <v>3.055107</v>
      </c>
      <c r="H58" s="20" t="s">
        <v>58</v>
      </c>
      <c r="I58" s="34">
        <v>3</v>
      </c>
      <c r="J58" s="20" t="s">
        <v>69</v>
      </c>
      <c r="K58" s="20">
        <v>8</v>
      </c>
      <c r="L58" s="35">
        <v>7.2447800000000004</v>
      </c>
      <c r="M58" s="20"/>
      <c r="N58" s="33">
        <v>1.5</v>
      </c>
      <c r="O58" s="33" t="s">
        <v>44</v>
      </c>
      <c r="P58" s="20"/>
      <c r="Q58" s="20"/>
      <c r="R58" s="44">
        <v>61</v>
      </c>
      <c r="S58" s="40" t="s">
        <v>44</v>
      </c>
      <c r="T58" s="37">
        <f>285+30+50+10</f>
        <v>375</v>
      </c>
      <c r="U58" s="38">
        <f t="shared" si="1"/>
        <v>1145.665125</v>
      </c>
      <c r="V58" s="37">
        <v>5</v>
      </c>
      <c r="W58" s="38">
        <f t="shared" si="2"/>
        <v>15.275535</v>
      </c>
      <c r="X58" s="47"/>
    </row>
    <row r="59" spans="1:24" s="1" customFormat="1" ht="22" customHeight="1" x14ac:dyDescent="0.25">
      <c r="A59" s="18">
        <v>109</v>
      </c>
      <c r="B59" s="19" t="s">
        <v>116</v>
      </c>
      <c r="C59" s="20">
        <v>2153</v>
      </c>
      <c r="D59" s="20">
        <v>1898</v>
      </c>
      <c r="E59" s="19">
        <v>1</v>
      </c>
      <c r="F59" s="21">
        <v>4.0863940000000003</v>
      </c>
      <c r="G59" s="21">
        <f t="shared" si="0"/>
        <v>4.0863940000000003</v>
      </c>
      <c r="H59" s="20" t="s">
        <v>58</v>
      </c>
      <c r="I59" s="34">
        <v>3</v>
      </c>
      <c r="J59" s="20" t="s">
        <v>69</v>
      </c>
      <c r="K59" s="20">
        <v>8</v>
      </c>
      <c r="L59" s="35">
        <v>10.01009</v>
      </c>
      <c r="M59" s="20"/>
      <c r="N59" s="33">
        <v>1.9</v>
      </c>
      <c r="O59" s="33" t="s">
        <v>44</v>
      </c>
      <c r="P59" s="20"/>
      <c r="Q59" s="20"/>
      <c r="R59" s="44">
        <v>62</v>
      </c>
      <c r="S59" s="40" t="s">
        <v>44</v>
      </c>
      <c r="T59" s="37">
        <f>285+30+50+60</f>
        <v>425</v>
      </c>
      <c r="U59" s="38">
        <f t="shared" si="1"/>
        <v>1736.7174500000001</v>
      </c>
      <c r="V59" s="37">
        <v>5</v>
      </c>
      <c r="W59" s="38">
        <f t="shared" si="2"/>
        <v>20.43197</v>
      </c>
      <c r="X59" s="47"/>
    </row>
    <row r="60" spans="1:24" s="1" customFormat="1" ht="22" customHeight="1" x14ac:dyDescent="0.25">
      <c r="A60" s="18">
        <v>110</v>
      </c>
      <c r="B60" s="19" t="s">
        <v>117</v>
      </c>
      <c r="C60" s="20">
        <v>2153</v>
      </c>
      <c r="D60" s="20">
        <v>1125</v>
      </c>
      <c r="E60" s="19">
        <v>1</v>
      </c>
      <c r="F60" s="21">
        <v>2.4221249999999999</v>
      </c>
      <c r="G60" s="21">
        <f t="shared" si="0"/>
        <v>2.4221249999999999</v>
      </c>
      <c r="H60" s="20" t="s">
        <v>58</v>
      </c>
      <c r="I60" s="34">
        <v>3</v>
      </c>
      <c r="J60" s="20" t="s">
        <v>69</v>
      </c>
      <c r="K60" s="20">
        <v>8</v>
      </c>
      <c r="L60" s="35">
        <v>4.7241099999999996</v>
      </c>
      <c r="M60" s="20"/>
      <c r="N60" s="33" t="s">
        <v>44</v>
      </c>
      <c r="O60" s="33" t="s">
        <v>44</v>
      </c>
      <c r="P60" s="20"/>
      <c r="Q60" s="20"/>
      <c r="R60" s="44">
        <v>63</v>
      </c>
      <c r="S60" s="40" t="s">
        <v>44</v>
      </c>
      <c r="T60" s="37">
        <f>285+30+50</f>
        <v>365</v>
      </c>
      <c r="U60" s="38">
        <f t="shared" si="1"/>
        <v>884.07562499999995</v>
      </c>
      <c r="V60" s="37">
        <v>5</v>
      </c>
      <c r="W60" s="38">
        <f t="shared" si="2"/>
        <v>12.110624999999999</v>
      </c>
      <c r="X60" s="47"/>
    </row>
    <row r="61" spans="1:24" s="1" customFormat="1" ht="22" customHeight="1" x14ac:dyDescent="0.25">
      <c r="A61" s="18">
        <v>111</v>
      </c>
      <c r="B61" s="19" t="s">
        <v>118</v>
      </c>
      <c r="C61" s="20">
        <v>2153</v>
      </c>
      <c r="D61" s="20">
        <v>1252</v>
      </c>
      <c r="E61" s="19">
        <v>1</v>
      </c>
      <c r="F61" s="21">
        <v>2.6955559999999998</v>
      </c>
      <c r="G61" s="21">
        <f t="shared" si="0"/>
        <v>2.6955559999999998</v>
      </c>
      <c r="H61" s="20" t="s">
        <v>58</v>
      </c>
      <c r="I61" s="34">
        <v>3</v>
      </c>
      <c r="J61" s="20" t="s">
        <v>69</v>
      </c>
      <c r="K61" s="20">
        <v>8</v>
      </c>
      <c r="L61" s="35">
        <v>6.4112400000000003</v>
      </c>
      <c r="M61" s="20"/>
      <c r="N61" s="33" t="s">
        <v>44</v>
      </c>
      <c r="O61" s="33" t="s">
        <v>44</v>
      </c>
      <c r="P61" s="20"/>
      <c r="Q61" s="20"/>
      <c r="R61" s="44">
        <v>64</v>
      </c>
      <c r="S61" s="40" t="s">
        <v>44</v>
      </c>
      <c r="T61" s="37">
        <f>285+30+50</f>
        <v>365</v>
      </c>
      <c r="U61" s="38">
        <f t="shared" si="1"/>
        <v>983.87793999999997</v>
      </c>
      <c r="V61" s="37">
        <v>5</v>
      </c>
      <c r="W61" s="38">
        <f t="shared" si="2"/>
        <v>13.477779999999999</v>
      </c>
      <c r="X61" s="47"/>
    </row>
    <row r="62" spans="1:24" s="1" customFormat="1" ht="22" customHeight="1" x14ac:dyDescent="0.25">
      <c r="A62" s="18">
        <v>117</v>
      </c>
      <c r="B62" s="19" t="s">
        <v>70</v>
      </c>
      <c r="C62" s="20">
        <v>1559</v>
      </c>
      <c r="D62" s="20">
        <v>1330</v>
      </c>
      <c r="E62" s="19">
        <v>10</v>
      </c>
      <c r="F62" s="21">
        <v>2.0734699999999999</v>
      </c>
      <c r="G62" s="21">
        <f t="shared" si="0"/>
        <v>20.7347</v>
      </c>
      <c r="H62" s="20" t="s">
        <v>58</v>
      </c>
      <c r="I62" s="34">
        <v>3</v>
      </c>
      <c r="J62" s="20" t="s">
        <v>61</v>
      </c>
      <c r="K62" s="20">
        <v>4</v>
      </c>
      <c r="L62" s="35">
        <v>2.2268514285714298</v>
      </c>
      <c r="M62" s="20"/>
      <c r="N62" s="33"/>
      <c r="O62" s="33" t="s">
        <v>44</v>
      </c>
      <c r="P62" s="20"/>
      <c r="Q62" s="20"/>
      <c r="R62" s="44">
        <v>70</v>
      </c>
      <c r="S62" s="40" t="s">
        <v>44</v>
      </c>
      <c r="T62" s="37">
        <f>285+30</f>
        <v>315</v>
      </c>
      <c r="U62" s="38">
        <f t="shared" si="1"/>
        <v>6531.4305000000004</v>
      </c>
      <c r="V62" s="37">
        <v>5</v>
      </c>
      <c r="W62" s="38">
        <f t="shared" si="2"/>
        <v>103.6735</v>
      </c>
      <c r="X62" s="3">
        <f>SUM(U20:U65)</f>
        <v>64740.762277071444</v>
      </c>
    </row>
    <row r="63" spans="1:24" s="1" customFormat="1" ht="22" customHeight="1" x14ac:dyDescent="0.25">
      <c r="A63" s="18">
        <v>118</v>
      </c>
      <c r="B63" s="19" t="s">
        <v>119</v>
      </c>
      <c r="C63" s="20">
        <v>1559</v>
      </c>
      <c r="D63" s="20">
        <v>2780</v>
      </c>
      <c r="E63" s="19">
        <v>14</v>
      </c>
      <c r="F63" s="21">
        <v>4.3340199999999998</v>
      </c>
      <c r="G63" s="21">
        <f t="shared" si="0"/>
        <v>60.676279999999998</v>
      </c>
      <c r="H63" s="20" t="s">
        <v>58</v>
      </c>
      <c r="I63" s="34">
        <v>3</v>
      </c>
      <c r="J63" s="20" t="s">
        <v>61</v>
      </c>
      <c r="K63" s="20">
        <v>4</v>
      </c>
      <c r="L63" s="35">
        <v>3.1175920000000001</v>
      </c>
      <c r="M63" s="20"/>
      <c r="N63" s="33">
        <v>1.6</v>
      </c>
      <c r="O63" s="33" t="s">
        <v>44</v>
      </c>
      <c r="P63" s="20"/>
      <c r="Q63" s="20"/>
      <c r="R63" s="44">
        <v>70</v>
      </c>
      <c r="S63" s="40" t="s">
        <v>44</v>
      </c>
      <c r="T63" s="37">
        <f>285+30+20</f>
        <v>335</v>
      </c>
      <c r="U63" s="38">
        <f t="shared" si="1"/>
        <v>20326.553799999998</v>
      </c>
      <c r="V63" s="37">
        <v>5</v>
      </c>
      <c r="W63" s="38">
        <f t="shared" si="2"/>
        <v>303.38139999999999</v>
      </c>
      <c r="X63" s="3">
        <f>SUM(W20:W63)</f>
        <v>917.41357950000008</v>
      </c>
    </row>
    <row r="64" spans="1:24" s="3" customFormat="1" x14ac:dyDescent="0.25">
      <c r="B64" s="3" t="s">
        <v>34</v>
      </c>
      <c r="E64" s="3">
        <f>SUM(E20:E63)</f>
        <v>66</v>
      </c>
      <c r="G64" s="29">
        <f>SUM(G20:G63)</f>
        <v>183.48271590000002</v>
      </c>
      <c r="L64" s="3">
        <f>SUM(L20:L63)</f>
        <v>111.18646642857145</v>
      </c>
      <c r="T64" s="48" t="s">
        <v>35</v>
      </c>
      <c r="U64" s="48">
        <f>L64*13</f>
        <v>1445.4240635714289</v>
      </c>
      <c r="X64" s="49">
        <f>SUM(X62:X63)</f>
        <v>65658.175856571441</v>
      </c>
    </row>
    <row r="65" spans="1:24" s="1" customFormat="1" ht="22" customHeight="1" x14ac:dyDescent="0.25">
      <c r="A65" s="66" t="s">
        <v>36</v>
      </c>
      <c r="B65" s="67"/>
      <c r="C65" s="67"/>
      <c r="D65" s="67"/>
      <c r="E65" s="67"/>
      <c r="F65" s="67"/>
      <c r="G65" s="68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9"/>
      <c r="S65" s="70"/>
      <c r="T65" s="50"/>
      <c r="U65" s="50"/>
    </row>
    <row r="66" spans="1:24" s="1" customFormat="1" ht="22" customHeight="1" x14ac:dyDescent="0.25">
      <c r="A66" s="71" t="s">
        <v>37</v>
      </c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4"/>
      <c r="S66" s="75"/>
    </row>
    <row r="67" spans="1:24" s="1" customFormat="1" ht="22" customHeight="1" x14ac:dyDescent="0.25">
      <c r="A67" s="114" t="s">
        <v>179</v>
      </c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4"/>
      <c r="S67" s="75"/>
    </row>
    <row r="68" spans="1:24" s="1" customFormat="1" ht="22" customHeight="1" x14ac:dyDescent="0.25">
      <c r="A68" s="71" t="s">
        <v>40</v>
      </c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4"/>
      <c r="S68" s="75"/>
    </row>
    <row r="69" spans="1:24" s="1" customFormat="1" ht="22" customHeight="1" x14ac:dyDescent="0.25">
      <c r="A69" s="76" t="s">
        <v>41</v>
      </c>
      <c r="B69" s="77"/>
      <c r="C69" s="77"/>
      <c r="D69" s="77"/>
      <c r="E69" s="77"/>
      <c r="F69" s="77"/>
      <c r="G69" s="78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9"/>
      <c r="S69" s="106"/>
    </row>
    <row r="70" spans="1:24" s="1" customFormat="1" ht="37" customHeight="1" x14ac:dyDescent="0.25">
      <c r="A70" s="7" t="s">
        <v>0</v>
      </c>
      <c r="B70" s="8"/>
      <c r="C70" s="9"/>
      <c r="D70" s="10"/>
      <c r="E70" s="10"/>
      <c r="F70" s="88" t="s">
        <v>176</v>
      </c>
      <c r="G70" s="89"/>
      <c r="H70" s="90"/>
      <c r="I70" s="90"/>
      <c r="J70" s="90"/>
      <c r="K70" s="90"/>
      <c r="L70" s="90"/>
      <c r="M70" s="90"/>
      <c r="N70" s="90"/>
      <c r="O70" s="100"/>
      <c r="P70" s="101"/>
      <c r="Q70" s="100"/>
      <c r="R70" s="101"/>
      <c r="S70" s="104"/>
    </row>
    <row r="71" spans="1:24" s="1" customFormat="1" ht="37" customHeight="1" x14ac:dyDescent="0.25">
      <c r="A71" s="11"/>
      <c r="B71" s="12"/>
      <c r="C71" s="13"/>
      <c r="D71" s="14"/>
      <c r="E71" s="14"/>
      <c r="F71" s="91" t="s">
        <v>177</v>
      </c>
      <c r="G71" s="92"/>
      <c r="H71" s="93"/>
      <c r="I71" s="93"/>
      <c r="J71" s="93"/>
      <c r="K71" s="93"/>
      <c r="L71" s="93"/>
      <c r="M71" s="93"/>
      <c r="N71" s="93"/>
      <c r="O71" s="102"/>
      <c r="P71" s="103"/>
      <c r="Q71" s="102"/>
      <c r="R71" s="103"/>
      <c r="S71" s="105"/>
    </row>
    <row r="72" spans="1:24" s="2" customFormat="1" ht="22" customHeight="1" x14ac:dyDescent="0.25">
      <c r="A72" s="94" t="s">
        <v>2</v>
      </c>
      <c r="B72" s="60"/>
      <c r="C72" s="95" t="s">
        <v>45</v>
      </c>
      <c r="D72" s="95"/>
      <c r="E72" s="95"/>
      <c r="F72" s="95"/>
      <c r="G72" s="16" t="s">
        <v>3</v>
      </c>
      <c r="H72" s="15" t="s">
        <v>120</v>
      </c>
      <c r="I72" s="15" t="s">
        <v>4</v>
      </c>
      <c r="J72" s="96" t="s">
        <v>51</v>
      </c>
      <c r="K72" s="96"/>
      <c r="L72" s="96"/>
      <c r="M72" s="63" t="s">
        <v>5</v>
      </c>
      <c r="N72" s="64"/>
      <c r="O72" s="97"/>
      <c r="P72" s="98"/>
      <c r="Q72" s="64"/>
      <c r="R72" s="64"/>
      <c r="S72" s="65"/>
    </row>
    <row r="73" spans="1:24" s="2" customFormat="1" ht="22" customHeight="1" x14ac:dyDescent="0.25">
      <c r="A73" s="94" t="s">
        <v>6</v>
      </c>
      <c r="B73" s="60"/>
      <c r="C73" s="60"/>
      <c r="D73" s="60"/>
      <c r="E73" s="60"/>
      <c r="F73" s="60"/>
      <c r="G73" s="99"/>
      <c r="H73" s="60"/>
      <c r="I73" s="60"/>
      <c r="J73" s="60"/>
      <c r="K73" s="60"/>
      <c r="L73" s="60"/>
      <c r="M73" s="63" t="s">
        <v>7</v>
      </c>
      <c r="N73" s="64"/>
      <c r="O73" s="63" t="s">
        <v>121</v>
      </c>
      <c r="P73" s="64"/>
      <c r="Q73" s="64"/>
      <c r="R73" s="64"/>
      <c r="S73" s="65"/>
    </row>
    <row r="74" spans="1:24" s="2" customFormat="1" ht="22" customHeight="1" x14ac:dyDescent="0.25">
      <c r="A74" s="80" t="s">
        <v>8</v>
      </c>
      <c r="B74" s="81" t="s">
        <v>9</v>
      </c>
      <c r="C74" s="60" t="s">
        <v>10</v>
      </c>
      <c r="D74" s="61"/>
      <c r="E74" s="83" t="s">
        <v>11</v>
      </c>
      <c r="F74" s="84" t="s">
        <v>12</v>
      </c>
      <c r="G74" s="86" t="s">
        <v>13</v>
      </c>
      <c r="H74" s="17" t="s">
        <v>14</v>
      </c>
      <c r="I74" s="62" t="s">
        <v>76</v>
      </c>
      <c r="J74" s="61"/>
      <c r="K74" s="61"/>
      <c r="L74" s="61"/>
      <c r="M74" s="63" t="s">
        <v>15</v>
      </c>
      <c r="N74" s="64"/>
      <c r="O74" s="63"/>
      <c r="P74" s="64"/>
      <c r="Q74" s="64"/>
      <c r="R74" s="64"/>
      <c r="S74" s="65"/>
    </row>
    <row r="75" spans="1:24" s="2" customFormat="1" ht="22" customHeight="1" x14ac:dyDescent="0.25">
      <c r="A75" s="80"/>
      <c r="B75" s="82"/>
      <c r="C75" s="15" t="s">
        <v>16</v>
      </c>
      <c r="D75" s="15" t="s">
        <v>17</v>
      </c>
      <c r="E75" s="61"/>
      <c r="F75" s="85"/>
      <c r="G75" s="87"/>
      <c r="H75" s="15" t="s">
        <v>18</v>
      </c>
      <c r="I75" s="30" t="s">
        <v>19</v>
      </c>
      <c r="J75" s="15" t="s">
        <v>20</v>
      </c>
      <c r="K75" s="15" t="s">
        <v>21</v>
      </c>
      <c r="L75" s="15" t="s">
        <v>22</v>
      </c>
      <c r="M75" s="15" t="s">
        <v>23</v>
      </c>
      <c r="N75" s="15" t="s">
        <v>24</v>
      </c>
      <c r="O75" s="15" t="s">
        <v>25</v>
      </c>
      <c r="P75" s="15" t="s">
        <v>26</v>
      </c>
      <c r="Q75" s="15" t="s">
        <v>27</v>
      </c>
      <c r="R75" s="31" t="s">
        <v>28</v>
      </c>
      <c r="S75" s="36" t="s">
        <v>29</v>
      </c>
      <c r="T75" s="37" t="s">
        <v>30</v>
      </c>
      <c r="U75" s="38" t="s">
        <v>31</v>
      </c>
      <c r="V75" s="45" t="s">
        <v>32</v>
      </c>
      <c r="W75" s="46"/>
    </row>
    <row r="76" spans="1:24" s="1" customFormat="1" ht="22" customHeight="1" x14ac:dyDescent="0.25">
      <c r="A76" s="18">
        <v>1</v>
      </c>
      <c r="B76" s="19" t="s">
        <v>122</v>
      </c>
      <c r="C76" s="20">
        <v>378</v>
      </c>
      <c r="D76" s="20">
        <v>1196</v>
      </c>
      <c r="E76" s="19">
        <v>1</v>
      </c>
      <c r="F76" s="21">
        <v>0.45208799999999999</v>
      </c>
      <c r="G76" s="21">
        <v>0.45208799999999999</v>
      </c>
      <c r="H76" s="20" t="s">
        <v>74</v>
      </c>
      <c r="I76" s="34">
        <v>3</v>
      </c>
      <c r="J76" s="20" t="s">
        <v>33</v>
      </c>
      <c r="K76" s="20">
        <v>6</v>
      </c>
      <c r="L76" s="20"/>
      <c r="M76" s="20"/>
      <c r="N76" s="33" t="s">
        <v>44</v>
      </c>
      <c r="O76" s="33" t="s">
        <v>44</v>
      </c>
      <c r="P76" s="20"/>
      <c r="Q76" s="20"/>
      <c r="R76" s="44">
        <v>1</v>
      </c>
      <c r="S76" s="40"/>
      <c r="T76" s="37">
        <f>305</f>
        <v>305</v>
      </c>
      <c r="U76" s="38">
        <f>T76*G76</f>
        <v>137.88684000000001</v>
      </c>
      <c r="V76" s="37">
        <v>5</v>
      </c>
      <c r="W76" s="38">
        <f>V76*G76</f>
        <v>2.26044</v>
      </c>
      <c r="X76" s="1">
        <f>SUM(U76:U77)</f>
        <v>298.83168000000001</v>
      </c>
    </row>
    <row r="77" spans="1:24" s="1" customFormat="1" ht="22" customHeight="1" x14ac:dyDescent="0.25">
      <c r="A77" s="18">
        <v>2</v>
      </c>
      <c r="B77" s="19" t="s">
        <v>123</v>
      </c>
      <c r="C77" s="20">
        <v>378</v>
      </c>
      <c r="D77" s="20">
        <v>1396</v>
      </c>
      <c r="E77" s="19">
        <v>1</v>
      </c>
      <c r="F77" s="21">
        <v>0.52768800000000005</v>
      </c>
      <c r="G77" s="21">
        <v>0.52768800000000005</v>
      </c>
      <c r="H77" s="20" t="s">
        <v>74</v>
      </c>
      <c r="I77" s="34">
        <v>3</v>
      </c>
      <c r="J77" s="20" t="s">
        <v>33</v>
      </c>
      <c r="K77" s="20">
        <v>6</v>
      </c>
      <c r="L77" s="20"/>
      <c r="M77" s="20"/>
      <c r="N77" s="33" t="s">
        <v>44</v>
      </c>
      <c r="O77" s="33" t="s">
        <v>44</v>
      </c>
      <c r="P77" s="20"/>
      <c r="Q77" s="20"/>
      <c r="R77" s="44">
        <v>1</v>
      </c>
      <c r="S77" s="40"/>
      <c r="T77" s="37">
        <f>305</f>
        <v>305</v>
      </c>
      <c r="U77" s="38">
        <f>T77*G77</f>
        <v>160.94484000000003</v>
      </c>
      <c r="V77" s="37">
        <v>5</v>
      </c>
      <c r="W77" s="38">
        <f>V77*G77</f>
        <v>2.6384400000000001</v>
      </c>
      <c r="X77" s="1">
        <f>SUM(W76:W77)</f>
        <v>4.8988800000000001</v>
      </c>
    </row>
    <row r="78" spans="1:24" s="1" customFormat="1" ht="22" customHeight="1" x14ac:dyDescent="0.25">
      <c r="A78" s="22"/>
      <c r="B78" s="23" t="s">
        <v>34</v>
      </c>
      <c r="C78" s="24"/>
      <c r="D78" s="24"/>
      <c r="E78" s="25">
        <v>2</v>
      </c>
      <c r="F78" s="26"/>
      <c r="G78" s="27">
        <v>0.97977599999999998</v>
      </c>
      <c r="H78" s="28"/>
      <c r="I78" s="28"/>
      <c r="J78" s="28"/>
      <c r="K78" s="28"/>
      <c r="L78" s="25">
        <v>0</v>
      </c>
      <c r="M78" s="25">
        <v>0</v>
      </c>
      <c r="N78" s="28"/>
      <c r="O78" s="28"/>
      <c r="P78" s="28"/>
      <c r="Q78" s="25">
        <v>0</v>
      </c>
      <c r="R78" s="42"/>
      <c r="S78" s="43"/>
    </row>
    <row r="79" spans="1:24" s="1" customFormat="1" ht="22" customHeight="1" x14ac:dyDescent="0.25">
      <c r="A79" s="66" t="s">
        <v>36</v>
      </c>
      <c r="B79" s="67"/>
      <c r="C79" s="67"/>
      <c r="D79" s="67"/>
      <c r="E79" s="67"/>
      <c r="F79" s="67"/>
      <c r="G79" s="68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9"/>
      <c r="S79" s="70"/>
      <c r="X79" s="41">
        <f>SUM(X76:X78)</f>
        <v>303.73056000000003</v>
      </c>
    </row>
    <row r="80" spans="1:24" s="1" customFormat="1" ht="22" customHeight="1" x14ac:dyDescent="0.25">
      <c r="A80" s="71" t="s">
        <v>37</v>
      </c>
      <c r="B80" s="72"/>
      <c r="C80" s="72"/>
      <c r="D80" s="72"/>
      <c r="E80" s="72"/>
      <c r="F80" s="72"/>
      <c r="G80" s="73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4"/>
      <c r="S80" s="75"/>
    </row>
    <row r="81" spans="1:24" s="1" customFormat="1" ht="22" customHeight="1" x14ac:dyDescent="0.25">
      <c r="A81" s="114" t="s">
        <v>179</v>
      </c>
      <c r="B81" s="72"/>
      <c r="C81" s="72"/>
      <c r="D81" s="72"/>
      <c r="E81" s="72"/>
      <c r="F81" s="72"/>
      <c r="G81" s="73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4"/>
      <c r="S81" s="75"/>
    </row>
    <row r="82" spans="1:24" s="1" customFormat="1" ht="22" customHeight="1" x14ac:dyDescent="0.25">
      <c r="A82" s="71" t="s">
        <v>40</v>
      </c>
      <c r="B82" s="72"/>
      <c r="C82" s="72"/>
      <c r="D82" s="72"/>
      <c r="E82" s="72"/>
      <c r="F82" s="72"/>
      <c r="G82" s="73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4"/>
      <c r="S82" s="75"/>
    </row>
    <row r="83" spans="1:24" s="1" customFormat="1" ht="22" customHeight="1" x14ac:dyDescent="0.25">
      <c r="A83" s="76" t="s">
        <v>41</v>
      </c>
      <c r="B83" s="77"/>
      <c r="C83" s="77"/>
      <c r="D83" s="77"/>
      <c r="E83" s="77"/>
      <c r="F83" s="77"/>
      <c r="G83" s="78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9"/>
      <c r="S83" s="106"/>
    </row>
    <row r="84" spans="1:24" s="1" customFormat="1" ht="37" customHeight="1" x14ac:dyDescent="0.25">
      <c r="A84" s="7" t="s">
        <v>0</v>
      </c>
      <c r="B84" s="8"/>
      <c r="C84" s="9"/>
      <c r="D84" s="10"/>
      <c r="E84" s="10"/>
      <c r="F84" s="88" t="s">
        <v>176</v>
      </c>
      <c r="G84" s="89"/>
      <c r="H84" s="90"/>
      <c r="I84" s="90"/>
      <c r="J84" s="90"/>
      <c r="K84" s="90"/>
      <c r="L84" s="90"/>
      <c r="M84" s="90"/>
      <c r="N84" s="90"/>
      <c r="O84" s="100"/>
      <c r="P84" s="101"/>
      <c r="Q84" s="100"/>
      <c r="R84" s="101"/>
      <c r="S84" s="104"/>
    </row>
    <row r="85" spans="1:24" s="1" customFormat="1" ht="37" customHeight="1" x14ac:dyDescent="0.25">
      <c r="A85" s="11"/>
      <c r="B85" s="12"/>
      <c r="C85" s="13"/>
      <c r="D85" s="14"/>
      <c r="E85" s="14"/>
      <c r="F85" s="91" t="s">
        <v>177</v>
      </c>
      <c r="G85" s="92"/>
      <c r="H85" s="93"/>
      <c r="I85" s="93"/>
      <c r="J85" s="93"/>
      <c r="K85" s="93"/>
      <c r="L85" s="93"/>
      <c r="M85" s="93"/>
      <c r="N85" s="93"/>
      <c r="O85" s="102"/>
      <c r="P85" s="103"/>
      <c r="Q85" s="102"/>
      <c r="R85" s="103"/>
      <c r="S85" s="105"/>
    </row>
    <row r="86" spans="1:24" s="2" customFormat="1" ht="22" customHeight="1" x14ac:dyDescent="0.25">
      <c r="A86" s="94" t="s">
        <v>2</v>
      </c>
      <c r="B86" s="60"/>
      <c r="C86" s="95" t="s">
        <v>45</v>
      </c>
      <c r="D86" s="95"/>
      <c r="E86" s="95"/>
      <c r="F86" s="95"/>
      <c r="G86" s="16" t="s">
        <v>3</v>
      </c>
      <c r="H86" s="15" t="s">
        <v>124</v>
      </c>
      <c r="I86" s="15" t="s">
        <v>4</v>
      </c>
      <c r="J86" s="96" t="s">
        <v>48</v>
      </c>
      <c r="K86" s="96"/>
      <c r="L86" s="96"/>
      <c r="M86" s="63" t="s">
        <v>5</v>
      </c>
      <c r="N86" s="64"/>
      <c r="O86" s="97"/>
      <c r="P86" s="98"/>
      <c r="Q86" s="64"/>
      <c r="R86" s="64"/>
      <c r="S86" s="65"/>
    </row>
    <row r="87" spans="1:24" s="2" customFormat="1" ht="22" customHeight="1" x14ac:dyDescent="0.25">
      <c r="A87" s="94" t="s">
        <v>6</v>
      </c>
      <c r="B87" s="60"/>
      <c r="C87" s="60"/>
      <c r="D87" s="60"/>
      <c r="E87" s="60"/>
      <c r="F87" s="60"/>
      <c r="G87" s="99"/>
      <c r="H87" s="60"/>
      <c r="I87" s="60"/>
      <c r="J87" s="60"/>
      <c r="K87" s="60"/>
      <c r="L87" s="60"/>
      <c r="M87" s="63" t="s">
        <v>7</v>
      </c>
      <c r="N87" s="64"/>
      <c r="O87" s="63" t="s">
        <v>52</v>
      </c>
      <c r="P87" s="64"/>
      <c r="Q87" s="64"/>
      <c r="R87" s="64"/>
      <c r="S87" s="65"/>
    </row>
    <row r="88" spans="1:24" s="2" customFormat="1" ht="22" customHeight="1" x14ac:dyDescent="0.25">
      <c r="A88" s="80" t="s">
        <v>8</v>
      </c>
      <c r="B88" s="81" t="s">
        <v>9</v>
      </c>
      <c r="C88" s="60" t="s">
        <v>10</v>
      </c>
      <c r="D88" s="61"/>
      <c r="E88" s="83" t="s">
        <v>11</v>
      </c>
      <c r="F88" s="84" t="s">
        <v>12</v>
      </c>
      <c r="G88" s="86" t="s">
        <v>13</v>
      </c>
      <c r="H88" s="17" t="s">
        <v>14</v>
      </c>
      <c r="I88" s="62" t="s">
        <v>76</v>
      </c>
      <c r="J88" s="61"/>
      <c r="K88" s="61"/>
      <c r="L88" s="61"/>
      <c r="M88" s="63" t="s">
        <v>15</v>
      </c>
      <c r="N88" s="64"/>
      <c r="O88" s="63"/>
      <c r="P88" s="64"/>
      <c r="Q88" s="64"/>
      <c r="R88" s="64"/>
      <c r="S88" s="65"/>
    </row>
    <row r="89" spans="1:24" s="2" customFormat="1" ht="22" customHeight="1" x14ac:dyDescent="0.25">
      <c r="A89" s="80"/>
      <c r="B89" s="82"/>
      <c r="C89" s="15" t="s">
        <v>16</v>
      </c>
      <c r="D89" s="15" t="s">
        <v>17</v>
      </c>
      <c r="E89" s="61"/>
      <c r="F89" s="85"/>
      <c r="G89" s="87"/>
      <c r="H89" s="15" t="s">
        <v>18</v>
      </c>
      <c r="I89" s="30" t="s">
        <v>19</v>
      </c>
      <c r="J89" s="15" t="s">
        <v>20</v>
      </c>
      <c r="K89" s="15" t="s">
        <v>21</v>
      </c>
      <c r="L89" s="15" t="s">
        <v>22</v>
      </c>
      <c r="M89" s="15" t="s">
        <v>23</v>
      </c>
      <c r="N89" s="15" t="s">
        <v>24</v>
      </c>
      <c r="O89" s="15" t="s">
        <v>25</v>
      </c>
      <c r="P89" s="15" t="s">
        <v>26</v>
      </c>
      <c r="Q89" s="15" t="s">
        <v>27</v>
      </c>
      <c r="R89" s="31" t="s">
        <v>28</v>
      </c>
      <c r="S89" s="36" t="s">
        <v>29</v>
      </c>
      <c r="T89" s="37" t="s">
        <v>30</v>
      </c>
      <c r="U89" s="38" t="s">
        <v>31</v>
      </c>
      <c r="V89" s="45" t="s">
        <v>32</v>
      </c>
      <c r="W89" s="46"/>
    </row>
    <row r="90" spans="1:24" s="1" customFormat="1" ht="22" customHeight="1" x14ac:dyDescent="0.25">
      <c r="A90" s="18">
        <v>1</v>
      </c>
      <c r="B90" s="19" t="s">
        <v>50</v>
      </c>
      <c r="C90" s="20">
        <v>3287</v>
      </c>
      <c r="D90" s="20">
        <v>1061</v>
      </c>
      <c r="E90" s="19">
        <v>1</v>
      </c>
      <c r="F90" s="21">
        <v>3.4875069999999999</v>
      </c>
      <c r="G90" s="21">
        <v>3.4875069999999999</v>
      </c>
      <c r="H90" s="20" t="s">
        <v>43</v>
      </c>
      <c r="I90" s="34">
        <v>3</v>
      </c>
      <c r="J90" s="20" t="s">
        <v>33</v>
      </c>
      <c r="K90" s="20">
        <v>3</v>
      </c>
      <c r="L90" s="20"/>
      <c r="M90" s="20"/>
      <c r="N90" s="33" t="s">
        <v>44</v>
      </c>
      <c r="O90" s="33" t="s">
        <v>44</v>
      </c>
      <c r="P90" s="20"/>
      <c r="Q90" s="20"/>
      <c r="R90" s="44">
        <v>1</v>
      </c>
      <c r="S90" s="40" t="e">
        <v>#REF!</v>
      </c>
      <c r="T90" s="37">
        <f>305</f>
        <v>305</v>
      </c>
      <c r="U90" s="38">
        <f>T90*G90</f>
        <v>1063.689635</v>
      </c>
      <c r="V90" s="37">
        <v>5</v>
      </c>
      <c r="W90" s="38">
        <f>V90*G90</f>
        <v>17.437535</v>
      </c>
      <c r="X90" s="1">
        <f>SUM(U90:U91)</f>
        <v>1891.86086</v>
      </c>
    </row>
    <row r="91" spans="1:24" s="1" customFormat="1" ht="22" customHeight="1" x14ac:dyDescent="0.25">
      <c r="A91" s="18">
        <v>2</v>
      </c>
      <c r="B91" s="19" t="s">
        <v>125</v>
      </c>
      <c r="C91" s="20">
        <v>955</v>
      </c>
      <c r="D91" s="20">
        <v>2753</v>
      </c>
      <c r="E91" s="19">
        <v>1</v>
      </c>
      <c r="F91" s="21">
        <v>2.6291150000000001</v>
      </c>
      <c r="G91" s="21">
        <v>2.6291150000000001</v>
      </c>
      <c r="H91" s="20" t="s">
        <v>43</v>
      </c>
      <c r="I91" s="34">
        <v>3</v>
      </c>
      <c r="J91" s="20" t="s">
        <v>42</v>
      </c>
      <c r="K91" s="20">
        <v>8</v>
      </c>
      <c r="L91" s="20"/>
      <c r="M91" s="20"/>
      <c r="N91" s="33" t="s">
        <v>44</v>
      </c>
      <c r="O91" s="33" t="s">
        <v>44</v>
      </c>
      <c r="P91" s="20"/>
      <c r="Q91" s="20"/>
      <c r="R91" s="44">
        <v>2</v>
      </c>
      <c r="S91" s="40" t="e">
        <v>#REF!</v>
      </c>
      <c r="T91" s="37">
        <f>305+10</f>
        <v>315</v>
      </c>
      <c r="U91" s="38">
        <f>T91*G91</f>
        <v>828.17122500000005</v>
      </c>
      <c r="V91" s="37">
        <v>5</v>
      </c>
      <c r="W91" s="38">
        <f>V91*G91</f>
        <v>13.145575000000001</v>
      </c>
      <c r="X91" s="1">
        <f>SUM(W90:W91)</f>
        <v>30.583110000000001</v>
      </c>
    </row>
    <row r="92" spans="1:24" s="1" customFormat="1" ht="22" customHeight="1" x14ac:dyDescent="0.25">
      <c r="A92" s="22"/>
      <c r="B92" s="23" t="s">
        <v>34</v>
      </c>
      <c r="C92" s="24"/>
      <c r="D92" s="24"/>
      <c r="E92" s="25">
        <v>2</v>
      </c>
      <c r="F92" s="26"/>
      <c r="G92" s="27">
        <v>6.1166219999999996</v>
      </c>
      <c r="H92" s="28"/>
      <c r="I92" s="28"/>
      <c r="J92" s="28"/>
      <c r="K92" s="28"/>
      <c r="L92" s="25">
        <v>0</v>
      </c>
      <c r="M92" s="25">
        <v>0</v>
      </c>
      <c r="N92" s="28"/>
      <c r="O92" s="28"/>
      <c r="P92" s="28"/>
      <c r="Q92" s="25">
        <v>0</v>
      </c>
      <c r="R92" s="42"/>
      <c r="S92" s="43"/>
    </row>
    <row r="93" spans="1:24" s="1" customFormat="1" ht="22" customHeight="1" x14ac:dyDescent="0.25">
      <c r="A93" s="66" t="s">
        <v>36</v>
      </c>
      <c r="B93" s="67"/>
      <c r="C93" s="67"/>
      <c r="D93" s="67"/>
      <c r="E93" s="67"/>
      <c r="F93" s="67"/>
      <c r="G93" s="68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9"/>
      <c r="S93" s="70"/>
      <c r="X93" s="41">
        <f>SUM(X90:X92)</f>
        <v>1922.44397</v>
      </c>
    </row>
    <row r="94" spans="1:24" s="1" customFormat="1" ht="22" customHeight="1" x14ac:dyDescent="0.25">
      <c r="A94" s="71" t="s">
        <v>37</v>
      </c>
      <c r="B94" s="72"/>
      <c r="C94" s="72"/>
      <c r="D94" s="72"/>
      <c r="E94" s="72"/>
      <c r="F94" s="72"/>
      <c r="G94" s="73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4"/>
      <c r="S94" s="75"/>
    </row>
    <row r="95" spans="1:24" s="1" customFormat="1" ht="22" customHeight="1" x14ac:dyDescent="0.25">
      <c r="A95" s="114" t="s">
        <v>179</v>
      </c>
      <c r="B95" s="72"/>
      <c r="C95" s="72"/>
      <c r="D95" s="72"/>
      <c r="E95" s="72"/>
      <c r="F95" s="72"/>
      <c r="G95" s="73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4"/>
      <c r="S95" s="75"/>
    </row>
    <row r="96" spans="1:24" s="1" customFormat="1" ht="22" customHeight="1" x14ac:dyDescent="0.25">
      <c r="A96" s="71" t="s">
        <v>40</v>
      </c>
      <c r="B96" s="72"/>
      <c r="C96" s="72"/>
      <c r="D96" s="72"/>
      <c r="E96" s="72"/>
      <c r="F96" s="72"/>
      <c r="G96" s="73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4"/>
      <c r="S96" s="75"/>
    </row>
    <row r="97" spans="1:23" s="1" customFormat="1" ht="22" customHeight="1" x14ac:dyDescent="0.25">
      <c r="A97" s="76" t="s">
        <v>41</v>
      </c>
      <c r="B97" s="77"/>
      <c r="C97" s="77"/>
      <c r="D97" s="77"/>
      <c r="E97" s="77"/>
      <c r="F97" s="77"/>
      <c r="G97" s="78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9"/>
      <c r="S97" s="106"/>
    </row>
    <row r="98" spans="1:23" s="1" customFormat="1" ht="37" customHeight="1" x14ac:dyDescent="0.25">
      <c r="A98" s="7" t="s">
        <v>0</v>
      </c>
      <c r="B98" s="8"/>
      <c r="C98" s="9"/>
      <c r="D98" s="10"/>
      <c r="E98" s="10"/>
      <c r="F98" s="88" t="s">
        <v>176</v>
      </c>
      <c r="G98" s="89"/>
      <c r="H98" s="90"/>
      <c r="I98" s="90"/>
      <c r="J98" s="90"/>
      <c r="K98" s="90"/>
      <c r="L98" s="90"/>
      <c r="M98" s="90"/>
      <c r="N98" s="90"/>
      <c r="O98" s="100"/>
      <c r="P98" s="101"/>
      <c r="Q98" s="100"/>
      <c r="R98" s="101"/>
      <c r="S98" s="104"/>
    </row>
    <row r="99" spans="1:23" s="1" customFormat="1" ht="37" customHeight="1" x14ac:dyDescent="0.25">
      <c r="A99" s="11"/>
      <c r="B99" s="12"/>
      <c r="C99" s="13"/>
      <c r="D99" s="14"/>
      <c r="E99" s="14"/>
      <c r="F99" s="91" t="s">
        <v>177</v>
      </c>
      <c r="G99" s="92"/>
      <c r="H99" s="93"/>
      <c r="I99" s="93"/>
      <c r="J99" s="93"/>
      <c r="K99" s="93"/>
      <c r="L99" s="93"/>
      <c r="M99" s="93"/>
      <c r="N99" s="93"/>
      <c r="O99" s="102"/>
      <c r="P99" s="103"/>
      <c r="Q99" s="102"/>
      <c r="R99" s="103"/>
      <c r="S99" s="105"/>
    </row>
    <row r="100" spans="1:23" s="2" customFormat="1" ht="22" customHeight="1" x14ac:dyDescent="0.25">
      <c r="A100" s="94" t="s">
        <v>2</v>
      </c>
      <c r="B100" s="60"/>
      <c r="C100" s="95" t="s">
        <v>45</v>
      </c>
      <c r="D100" s="95"/>
      <c r="E100" s="95"/>
      <c r="F100" s="95"/>
      <c r="G100" s="16" t="s">
        <v>3</v>
      </c>
      <c r="H100" s="15" t="s">
        <v>126</v>
      </c>
      <c r="I100" s="15" t="s">
        <v>4</v>
      </c>
      <c r="J100" s="96" t="s">
        <v>48</v>
      </c>
      <c r="K100" s="96"/>
      <c r="L100" s="96"/>
      <c r="M100" s="63" t="s">
        <v>5</v>
      </c>
      <c r="N100" s="64"/>
      <c r="O100" s="97"/>
      <c r="P100" s="98"/>
      <c r="Q100" s="64"/>
      <c r="R100" s="64"/>
      <c r="S100" s="65"/>
    </row>
    <row r="101" spans="1:23" s="2" customFormat="1" ht="22" customHeight="1" x14ac:dyDescent="0.25">
      <c r="A101" s="94" t="s">
        <v>6</v>
      </c>
      <c r="B101" s="60"/>
      <c r="C101" s="60"/>
      <c r="D101" s="60"/>
      <c r="E101" s="60"/>
      <c r="F101" s="60"/>
      <c r="G101" s="99"/>
      <c r="H101" s="60"/>
      <c r="I101" s="60"/>
      <c r="J101" s="60"/>
      <c r="K101" s="60"/>
      <c r="L101" s="60"/>
      <c r="M101" s="63" t="s">
        <v>7</v>
      </c>
      <c r="N101" s="64"/>
      <c r="O101" s="63" t="s">
        <v>52</v>
      </c>
      <c r="P101" s="64"/>
      <c r="Q101" s="64"/>
      <c r="R101" s="64"/>
      <c r="S101" s="65"/>
    </row>
    <row r="102" spans="1:23" s="2" customFormat="1" ht="22" customHeight="1" x14ac:dyDescent="0.25">
      <c r="A102" s="80" t="s">
        <v>8</v>
      </c>
      <c r="B102" s="81" t="s">
        <v>9</v>
      </c>
      <c r="C102" s="60" t="s">
        <v>10</v>
      </c>
      <c r="D102" s="61"/>
      <c r="E102" s="83" t="s">
        <v>11</v>
      </c>
      <c r="F102" s="84" t="s">
        <v>12</v>
      </c>
      <c r="G102" s="86" t="s">
        <v>13</v>
      </c>
      <c r="H102" s="17" t="s">
        <v>14</v>
      </c>
      <c r="I102" s="62" t="s">
        <v>127</v>
      </c>
      <c r="J102" s="61"/>
      <c r="K102" s="61"/>
      <c r="L102" s="61"/>
      <c r="M102" s="63" t="s">
        <v>15</v>
      </c>
      <c r="N102" s="64"/>
      <c r="O102" s="63" t="s">
        <v>73</v>
      </c>
      <c r="P102" s="64"/>
      <c r="Q102" s="64"/>
      <c r="R102" s="64"/>
      <c r="S102" s="65"/>
    </row>
    <row r="103" spans="1:23" s="2" customFormat="1" ht="22" customHeight="1" x14ac:dyDescent="0.25">
      <c r="A103" s="80"/>
      <c r="B103" s="82"/>
      <c r="C103" s="15" t="s">
        <v>16</v>
      </c>
      <c r="D103" s="15" t="s">
        <v>17</v>
      </c>
      <c r="E103" s="61"/>
      <c r="F103" s="85"/>
      <c r="G103" s="87"/>
      <c r="H103" s="15" t="s">
        <v>18</v>
      </c>
      <c r="I103" s="30" t="s">
        <v>19</v>
      </c>
      <c r="J103" s="15" t="s">
        <v>20</v>
      </c>
      <c r="K103" s="15" t="s">
        <v>21</v>
      </c>
      <c r="L103" s="15" t="s">
        <v>22</v>
      </c>
      <c r="M103" s="15" t="s">
        <v>23</v>
      </c>
      <c r="N103" s="15" t="s">
        <v>24</v>
      </c>
      <c r="O103" s="15" t="s">
        <v>25</v>
      </c>
      <c r="P103" s="15" t="s">
        <v>26</v>
      </c>
      <c r="Q103" s="15" t="s">
        <v>27</v>
      </c>
      <c r="R103" s="31" t="s">
        <v>28</v>
      </c>
      <c r="S103" s="36" t="s">
        <v>29</v>
      </c>
      <c r="T103" s="37" t="s">
        <v>30</v>
      </c>
      <c r="U103" s="38" t="s">
        <v>31</v>
      </c>
      <c r="V103" s="45" t="s">
        <v>32</v>
      </c>
      <c r="W103" s="46"/>
    </row>
    <row r="104" spans="1:23" s="1" customFormat="1" ht="22" customHeight="1" x14ac:dyDescent="0.25">
      <c r="A104" s="18">
        <v>1</v>
      </c>
      <c r="B104" s="19" t="s">
        <v>128</v>
      </c>
      <c r="C104" s="20">
        <v>1526</v>
      </c>
      <c r="D104" s="20">
        <v>2753</v>
      </c>
      <c r="E104" s="19">
        <v>1</v>
      </c>
      <c r="F104" s="21">
        <v>4.2010779999999999</v>
      </c>
      <c r="G104" s="21">
        <f t="shared" ref="G104:G134" si="8">F104*E104</f>
        <v>4.2010779999999999</v>
      </c>
      <c r="H104" s="20" t="s">
        <v>43</v>
      </c>
      <c r="I104" s="34">
        <v>3</v>
      </c>
      <c r="J104" s="20" t="s">
        <v>62</v>
      </c>
      <c r="K104" s="20">
        <v>6</v>
      </c>
      <c r="L104" s="20"/>
      <c r="M104" s="20"/>
      <c r="N104" s="33">
        <v>1.6</v>
      </c>
      <c r="O104" s="33" t="s">
        <v>44</v>
      </c>
      <c r="P104" s="20"/>
      <c r="Q104" s="20"/>
      <c r="R104" s="44">
        <v>1</v>
      </c>
      <c r="S104" s="40" t="s">
        <v>44</v>
      </c>
      <c r="T104" s="37">
        <f>305+50+20</f>
        <v>375</v>
      </c>
      <c r="U104" s="38">
        <f t="shared" ref="U104:U134" si="9">T104*G104</f>
        <v>1575.40425</v>
      </c>
      <c r="V104" s="37">
        <v>5</v>
      </c>
      <c r="W104" s="38">
        <f t="shared" ref="W104:W134" si="10">V104*G104</f>
        <v>21.005389999999998</v>
      </c>
    </row>
    <row r="105" spans="1:23" s="1" customFormat="1" ht="22" customHeight="1" x14ac:dyDescent="0.25">
      <c r="A105" s="18">
        <v>2</v>
      </c>
      <c r="B105" s="19" t="s">
        <v>129</v>
      </c>
      <c r="C105" s="20">
        <v>3116</v>
      </c>
      <c r="D105" s="20">
        <v>1244</v>
      </c>
      <c r="E105" s="19">
        <v>1</v>
      </c>
      <c r="F105" s="21">
        <v>3.8763040000000002</v>
      </c>
      <c r="G105" s="21">
        <f t="shared" si="8"/>
        <v>3.8763040000000002</v>
      </c>
      <c r="H105" s="20" t="s">
        <v>43</v>
      </c>
      <c r="I105" s="34">
        <v>3</v>
      </c>
      <c r="J105" s="20" t="s">
        <v>62</v>
      </c>
      <c r="K105" s="20">
        <v>4</v>
      </c>
      <c r="L105" s="20"/>
      <c r="M105" s="20"/>
      <c r="N105" s="33" t="s">
        <v>44</v>
      </c>
      <c r="O105" s="33" t="s">
        <v>44</v>
      </c>
      <c r="P105" s="20"/>
      <c r="Q105" s="20"/>
      <c r="R105" s="44">
        <v>2</v>
      </c>
      <c r="S105" s="40" t="s">
        <v>44</v>
      </c>
      <c r="T105" s="37">
        <f>305+50</f>
        <v>355</v>
      </c>
      <c r="U105" s="38">
        <f t="shared" si="9"/>
        <v>1376.0879200000002</v>
      </c>
      <c r="V105" s="37">
        <v>5</v>
      </c>
      <c r="W105" s="38">
        <f t="shared" si="10"/>
        <v>19.381520000000002</v>
      </c>
    </row>
    <row r="106" spans="1:23" s="1" customFormat="1" ht="22" customHeight="1" x14ac:dyDescent="0.25">
      <c r="A106" s="18">
        <v>3</v>
      </c>
      <c r="B106" s="19" t="s">
        <v>130</v>
      </c>
      <c r="C106" s="20">
        <v>2753</v>
      </c>
      <c r="D106" s="20">
        <v>1244</v>
      </c>
      <c r="E106" s="19">
        <v>1</v>
      </c>
      <c r="F106" s="21">
        <v>3.4247320000000001</v>
      </c>
      <c r="G106" s="21">
        <f t="shared" si="8"/>
        <v>3.4247320000000001</v>
      </c>
      <c r="H106" s="20" t="s">
        <v>43</v>
      </c>
      <c r="I106" s="34">
        <v>3</v>
      </c>
      <c r="J106" s="20" t="s">
        <v>62</v>
      </c>
      <c r="K106" s="20">
        <v>4</v>
      </c>
      <c r="L106" s="20"/>
      <c r="M106" s="20"/>
      <c r="N106" s="33" t="s">
        <v>44</v>
      </c>
      <c r="O106" s="33" t="s">
        <v>44</v>
      </c>
      <c r="P106" s="20"/>
      <c r="Q106" s="20"/>
      <c r="R106" s="44">
        <v>2</v>
      </c>
      <c r="S106" s="40" t="s">
        <v>44</v>
      </c>
      <c r="T106" s="37">
        <f>305+50</f>
        <v>355</v>
      </c>
      <c r="U106" s="38">
        <f t="shared" si="9"/>
        <v>1215.7798600000001</v>
      </c>
      <c r="V106" s="37">
        <v>5</v>
      </c>
      <c r="W106" s="38">
        <f t="shared" si="10"/>
        <v>17.123660000000001</v>
      </c>
    </row>
    <row r="107" spans="1:23" s="1" customFormat="1" ht="22" customHeight="1" x14ac:dyDescent="0.25">
      <c r="A107" s="18">
        <v>4</v>
      </c>
      <c r="B107" s="19" t="s">
        <v>131</v>
      </c>
      <c r="C107" s="20">
        <v>652</v>
      </c>
      <c r="D107" s="20">
        <v>652</v>
      </c>
      <c r="E107" s="19">
        <v>1</v>
      </c>
      <c r="F107" s="21">
        <v>0.42510399999999998</v>
      </c>
      <c r="G107" s="21">
        <f t="shared" si="8"/>
        <v>0.42510399999999998</v>
      </c>
      <c r="H107" s="20" t="s">
        <v>43</v>
      </c>
      <c r="I107" s="34">
        <v>3</v>
      </c>
      <c r="J107" s="20" t="s">
        <v>33</v>
      </c>
      <c r="K107" s="20">
        <v>4</v>
      </c>
      <c r="L107" s="20"/>
      <c r="M107" s="20"/>
      <c r="N107" s="33" t="s">
        <v>44</v>
      </c>
      <c r="O107" s="33" t="s">
        <v>44</v>
      </c>
      <c r="P107" s="20"/>
      <c r="Q107" s="20"/>
      <c r="R107" s="44">
        <v>3</v>
      </c>
      <c r="S107" s="40" t="s">
        <v>47</v>
      </c>
      <c r="T107" s="37">
        <f t="shared" ref="T107:T119" si="11">305</f>
        <v>305</v>
      </c>
      <c r="U107" s="38">
        <f t="shared" si="9"/>
        <v>129.65672000000001</v>
      </c>
      <c r="V107" s="37">
        <v>5</v>
      </c>
      <c r="W107" s="38">
        <f t="shared" si="10"/>
        <v>2.1255199999999999</v>
      </c>
    </row>
    <row r="108" spans="1:23" s="1" customFormat="1" ht="22" customHeight="1" x14ac:dyDescent="0.25">
      <c r="A108" s="18">
        <v>5</v>
      </c>
      <c r="B108" s="19" t="s">
        <v>132</v>
      </c>
      <c r="C108" s="20">
        <v>612</v>
      </c>
      <c r="D108" s="20">
        <v>1188</v>
      </c>
      <c r="E108" s="19">
        <v>1</v>
      </c>
      <c r="F108" s="21">
        <v>0.72705600000000004</v>
      </c>
      <c r="G108" s="21">
        <f t="shared" si="8"/>
        <v>0.72705600000000004</v>
      </c>
      <c r="H108" s="20" t="s">
        <v>43</v>
      </c>
      <c r="I108" s="34">
        <v>3</v>
      </c>
      <c r="J108" s="20" t="s">
        <v>33</v>
      </c>
      <c r="K108" s="20">
        <v>4</v>
      </c>
      <c r="L108" s="20"/>
      <c r="M108" s="20"/>
      <c r="N108" s="33" t="s">
        <v>44</v>
      </c>
      <c r="O108" s="33" t="s">
        <v>44</v>
      </c>
      <c r="P108" s="20"/>
      <c r="Q108" s="20"/>
      <c r="R108" s="44">
        <v>3</v>
      </c>
      <c r="S108" s="40" t="s">
        <v>44</v>
      </c>
      <c r="T108" s="37">
        <f t="shared" si="11"/>
        <v>305</v>
      </c>
      <c r="U108" s="38">
        <f t="shared" si="9"/>
        <v>221.75208000000001</v>
      </c>
      <c r="V108" s="37">
        <v>5</v>
      </c>
      <c r="W108" s="38">
        <f t="shared" si="10"/>
        <v>3.6352800000000003</v>
      </c>
    </row>
    <row r="109" spans="1:23" s="1" customFormat="1" ht="22" customHeight="1" x14ac:dyDescent="0.25">
      <c r="A109" s="18">
        <v>6</v>
      </c>
      <c r="B109" s="19" t="s">
        <v>133</v>
      </c>
      <c r="C109" s="20">
        <v>612</v>
      </c>
      <c r="D109" s="20">
        <v>1886</v>
      </c>
      <c r="E109" s="19">
        <v>3</v>
      </c>
      <c r="F109" s="21">
        <v>1.1542319999999999</v>
      </c>
      <c r="G109" s="21">
        <f t="shared" si="8"/>
        <v>3.4626959999999998</v>
      </c>
      <c r="H109" s="20" t="s">
        <v>43</v>
      </c>
      <c r="I109" s="34">
        <v>3</v>
      </c>
      <c r="J109" s="20" t="s">
        <v>33</v>
      </c>
      <c r="K109" s="20">
        <v>4</v>
      </c>
      <c r="L109" s="20"/>
      <c r="M109" s="20"/>
      <c r="N109" s="33" t="s">
        <v>44</v>
      </c>
      <c r="O109" s="33" t="s">
        <v>44</v>
      </c>
      <c r="P109" s="20"/>
      <c r="Q109" s="20"/>
      <c r="R109" s="44">
        <v>3</v>
      </c>
      <c r="S109" s="40" t="s">
        <v>44</v>
      </c>
      <c r="T109" s="37">
        <f t="shared" si="11"/>
        <v>305</v>
      </c>
      <c r="U109" s="38">
        <f t="shared" si="9"/>
        <v>1056.1222799999998</v>
      </c>
      <c r="V109" s="37">
        <v>5</v>
      </c>
      <c r="W109" s="38">
        <f t="shared" si="10"/>
        <v>17.313479999999998</v>
      </c>
    </row>
    <row r="110" spans="1:23" s="1" customFormat="1" ht="22" customHeight="1" x14ac:dyDescent="0.25">
      <c r="A110" s="18">
        <v>7</v>
      </c>
      <c r="B110" s="19" t="s">
        <v>134</v>
      </c>
      <c r="C110" s="20">
        <v>612</v>
      </c>
      <c r="D110" s="20">
        <v>1662</v>
      </c>
      <c r="E110" s="19">
        <v>1</v>
      </c>
      <c r="F110" s="21">
        <v>1.017144</v>
      </c>
      <c r="G110" s="21">
        <f t="shared" si="8"/>
        <v>1.017144</v>
      </c>
      <c r="H110" s="20" t="s">
        <v>43</v>
      </c>
      <c r="I110" s="34">
        <v>3</v>
      </c>
      <c r="J110" s="20" t="s">
        <v>33</v>
      </c>
      <c r="K110" s="20">
        <v>4</v>
      </c>
      <c r="L110" s="20"/>
      <c r="M110" s="20"/>
      <c r="N110" s="33" t="s">
        <v>44</v>
      </c>
      <c r="O110" s="33" t="s">
        <v>44</v>
      </c>
      <c r="P110" s="20"/>
      <c r="Q110" s="20"/>
      <c r="R110" s="44">
        <v>3</v>
      </c>
      <c r="S110" s="40" t="s">
        <v>44</v>
      </c>
      <c r="T110" s="37">
        <f t="shared" si="11"/>
        <v>305</v>
      </c>
      <c r="U110" s="38">
        <f t="shared" si="9"/>
        <v>310.22892000000002</v>
      </c>
      <c r="V110" s="37">
        <v>5</v>
      </c>
      <c r="W110" s="38">
        <f t="shared" si="10"/>
        <v>5.0857200000000002</v>
      </c>
    </row>
    <row r="111" spans="1:23" s="1" customFormat="1" ht="22" customHeight="1" x14ac:dyDescent="0.25">
      <c r="A111" s="18">
        <v>8</v>
      </c>
      <c r="B111" s="19" t="s">
        <v>135</v>
      </c>
      <c r="C111" s="20">
        <v>612</v>
      </c>
      <c r="D111" s="20">
        <v>1158</v>
      </c>
      <c r="E111" s="19">
        <v>1</v>
      </c>
      <c r="F111" s="21">
        <v>0.70869599999999999</v>
      </c>
      <c r="G111" s="21">
        <f t="shared" si="8"/>
        <v>0.70869599999999999</v>
      </c>
      <c r="H111" s="20" t="s">
        <v>43</v>
      </c>
      <c r="I111" s="34">
        <v>3</v>
      </c>
      <c r="J111" s="20" t="s">
        <v>33</v>
      </c>
      <c r="K111" s="20">
        <v>4</v>
      </c>
      <c r="L111" s="20"/>
      <c r="M111" s="20"/>
      <c r="N111" s="33" t="s">
        <v>44</v>
      </c>
      <c r="O111" s="33" t="s">
        <v>44</v>
      </c>
      <c r="P111" s="20"/>
      <c r="Q111" s="20"/>
      <c r="R111" s="44">
        <v>3</v>
      </c>
      <c r="S111" s="40" t="s">
        <v>44</v>
      </c>
      <c r="T111" s="37">
        <f t="shared" si="11"/>
        <v>305</v>
      </c>
      <c r="U111" s="38">
        <f t="shared" si="9"/>
        <v>216.15227999999999</v>
      </c>
      <c r="V111" s="37">
        <v>5</v>
      </c>
      <c r="W111" s="38">
        <f t="shared" si="10"/>
        <v>3.5434799999999997</v>
      </c>
    </row>
    <row r="112" spans="1:23" s="1" customFormat="1" ht="22" customHeight="1" x14ac:dyDescent="0.25">
      <c r="A112" s="18">
        <v>9</v>
      </c>
      <c r="B112" s="19" t="s">
        <v>136</v>
      </c>
      <c r="C112" s="20">
        <v>612</v>
      </c>
      <c r="D112" s="20">
        <v>1114</v>
      </c>
      <c r="E112" s="19">
        <v>1</v>
      </c>
      <c r="F112" s="21">
        <v>0.68176800000000004</v>
      </c>
      <c r="G112" s="21">
        <f t="shared" si="8"/>
        <v>0.68176800000000004</v>
      </c>
      <c r="H112" s="20" t="s">
        <v>43</v>
      </c>
      <c r="I112" s="34">
        <v>3</v>
      </c>
      <c r="J112" s="20" t="s">
        <v>33</v>
      </c>
      <c r="K112" s="20">
        <v>4</v>
      </c>
      <c r="L112" s="20"/>
      <c r="M112" s="20"/>
      <c r="N112" s="33" t="s">
        <v>44</v>
      </c>
      <c r="O112" s="33" t="s">
        <v>44</v>
      </c>
      <c r="P112" s="20"/>
      <c r="Q112" s="20"/>
      <c r="R112" s="44">
        <v>3</v>
      </c>
      <c r="S112" s="40" t="s">
        <v>44</v>
      </c>
      <c r="T112" s="37">
        <f t="shared" si="11"/>
        <v>305</v>
      </c>
      <c r="U112" s="38">
        <f t="shared" si="9"/>
        <v>207.93924000000001</v>
      </c>
      <c r="V112" s="37">
        <v>5</v>
      </c>
      <c r="W112" s="38">
        <f t="shared" si="10"/>
        <v>3.4088400000000001</v>
      </c>
    </row>
    <row r="113" spans="1:23" s="1" customFormat="1" ht="22" customHeight="1" x14ac:dyDescent="0.25">
      <c r="A113" s="18">
        <v>10</v>
      </c>
      <c r="B113" s="19" t="s">
        <v>137</v>
      </c>
      <c r="C113" s="20">
        <v>1886</v>
      </c>
      <c r="D113" s="20">
        <v>1114</v>
      </c>
      <c r="E113" s="19">
        <v>3</v>
      </c>
      <c r="F113" s="21">
        <v>2.1010040000000001</v>
      </c>
      <c r="G113" s="21">
        <f t="shared" si="8"/>
        <v>6.3030120000000007</v>
      </c>
      <c r="H113" s="20" t="s">
        <v>43</v>
      </c>
      <c r="I113" s="34">
        <v>3</v>
      </c>
      <c r="J113" s="20" t="s">
        <v>33</v>
      </c>
      <c r="K113" s="20">
        <v>4</v>
      </c>
      <c r="L113" s="20"/>
      <c r="M113" s="20"/>
      <c r="N113" s="33" t="s">
        <v>44</v>
      </c>
      <c r="O113" s="33" t="s">
        <v>44</v>
      </c>
      <c r="P113" s="20"/>
      <c r="Q113" s="20"/>
      <c r="R113" s="44">
        <v>3</v>
      </c>
      <c r="S113" s="40" t="s">
        <v>44</v>
      </c>
      <c r="T113" s="37">
        <f t="shared" si="11"/>
        <v>305</v>
      </c>
      <c r="U113" s="38">
        <f t="shared" si="9"/>
        <v>1922.4186600000003</v>
      </c>
      <c r="V113" s="37">
        <v>5</v>
      </c>
      <c r="W113" s="38">
        <f t="shared" si="10"/>
        <v>31.515060000000005</v>
      </c>
    </row>
    <row r="114" spans="1:23" s="1" customFormat="1" ht="22" customHeight="1" x14ac:dyDescent="0.25">
      <c r="A114" s="18">
        <v>11</v>
      </c>
      <c r="B114" s="19" t="s">
        <v>138</v>
      </c>
      <c r="C114" s="20">
        <v>1812</v>
      </c>
      <c r="D114" s="20">
        <v>1114</v>
      </c>
      <c r="E114" s="19">
        <v>1</v>
      </c>
      <c r="F114" s="21">
        <v>2.0185680000000001</v>
      </c>
      <c r="G114" s="21">
        <f t="shared" si="8"/>
        <v>2.0185680000000001</v>
      </c>
      <c r="H114" s="20" t="s">
        <v>43</v>
      </c>
      <c r="I114" s="34">
        <v>3</v>
      </c>
      <c r="J114" s="20" t="s">
        <v>33</v>
      </c>
      <c r="K114" s="20">
        <v>4</v>
      </c>
      <c r="L114" s="20"/>
      <c r="M114" s="20"/>
      <c r="N114" s="33" t="s">
        <v>44</v>
      </c>
      <c r="O114" s="33" t="s">
        <v>44</v>
      </c>
      <c r="P114" s="20"/>
      <c r="Q114" s="20"/>
      <c r="R114" s="44">
        <v>3</v>
      </c>
      <c r="S114" s="40" t="s">
        <v>44</v>
      </c>
      <c r="T114" s="37">
        <f t="shared" si="11"/>
        <v>305</v>
      </c>
      <c r="U114" s="38">
        <f t="shared" si="9"/>
        <v>615.66324000000009</v>
      </c>
      <c r="V114" s="37">
        <v>5</v>
      </c>
      <c r="W114" s="38">
        <f t="shared" si="10"/>
        <v>10.092840000000001</v>
      </c>
    </row>
    <row r="115" spans="1:23" s="1" customFormat="1" ht="22" customHeight="1" x14ac:dyDescent="0.25">
      <c r="A115" s="18">
        <v>12</v>
      </c>
      <c r="B115" s="19" t="s">
        <v>139</v>
      </c>
      <c r="C115" s="20">
        <v>2988</v>
      </c>
      <c r="D115" s="20">
        <v>1126</v>
      </c>
      <c r="E115" s="19">
        <v>3</v>
      </c>
      <c r="F115" s="21">
        <v>3.3644880000000001</v>
      </c>
      <c r="G115" s="21">
        <f t="shared" si="8"/>
        <v>10.093464000000001</v>
      </c>
      <c r="H115" s="20" t="s">
        <v>43</v>
      </c>
      <c r="I115" s="34">
        <v>3</v>
      </c>
      <c r="J115" s="20" t="s">
        <v>33</v>
      </c>
      <c r="K115" s="20">
        <v>4</v>
      </c>
      <c r="L115" s="20"/>
      <c r="M115" s="20"/>
      <c r="N115" s="33" t="s">
        <v>44</v>
      </c>
      <c r="O115" s="33" t="s">
        <v>44</v>
      </c>
      <c r="P115" s="20"/>
      <c r="Q115" s="20"/>
      <c r="R115" s="44">
        <v>3</v>
      </c>
      <c r="S115" s="40" t="s">
        <v>44</v>
      </c>
      <c r="T115" s="37">
        <f t="shared" si="11"/>
        <v>305</v>
      </c>
      <c r="U115" s="38">
        <f t="shared" si="9"/>
        <v>3078.5065200000004</v>
      </c>
      <c r="V115" s="37">
        <v>5</v>
      </c>
      <c r="W115" s="38">
        <f t="shared" si="10"/>
        <v>50.467320000000001</v>
      </c>
    </row>
    <row r="116" spans="1:23" s="1" customFormat="1" ht="22" customHeight="1" x14ac:dyDescent="0.25">
      <c r="A116" s="18">
        <v>13</v>
      </c>
      <c r="B116" s="19" t="s">
        <v>140</v>
      </c>
      <c r="C116" s="20">
        <v>3794</v>
      </c>
      <c r="D116" s="20">
        <v>1126</v>
      </c>
      <c r="E116" s="19">
        <v>1</v>
      </c>
      <c r="F116" s="21">
        <v>4.2720440000000002</v>
      </c>
      <c r="G116" s="21">
        <f t="shared" si="8"/>
        <v>4.2720440000000002</v>
      </c>
      <c r="H116" s="20" t="s">
        <v>43</v>
      </c>
      <c r="I116" s="34">
        <v>3</v>
      </c>
      <c r="J116" s="20" t="s">
        <v>33</v>
      </c>
      <c r="K116" s="20">
        <v>4</v>
      </c>
      <c r="L116" s="20"/>
      <c r="M116" s="20"/>
      <c r="N116" s="33" t="s">
        <v>44</v>
      </c>
      <c r="O116" s="33" t="s">
        <v>44</v>
      </c>
      <c r="P116" s="20"/>
      <c r="Q116" s="20"/>
      <c r="R116" s="44">
        <v>3</v>
      </c>
      <c r="S116" s="40" t="s">
        <v>44</v>
      </c>
      <c r="T116" s="37">
        <f t="shared" si="11"/>
        <v>305</v>
      </c>
      <c r="U116" s="38">
        <f t="shared" si="9"/>
        <v>1302.97342</v>
      </c>
      <c r="V116" s="37">
        <v>5</v>
      </c>
      <c r="W116" s="38">
        <f t="shared" si="10"/>
        <v>21.360220000000002</v>
      </c>
    </row>
    <row r="117" spans="1:23" s="1" customFormat="1" ht="22" customHeight="1" x14ac:dyDescent="0.25">
      <c r="A117" s="18">
        <v>14</v>
      </c>
      <c r="B117" s="19" t="s">
        <v>141</v>
      </c>
      <c r="C117" s="20">
        <v>3350</v>
      </c>
      <c r="D117" s="20">
        <v>1110</v>
      </c>
      <c r="E117" s="19">
        <v>1</v>
      </c>
      <c r="F117" s="21">
        <v>3.7185000000000001</v>
      </c>
      <c r="G117" s="21">
        <f t="shared" si="8"/>
        <v>3.7185000000000001</v>
      </c>
      <c r="H117" s="20" t="s">
        <v>43</v>
      </c>
      <c r="I117" s="34">
        <v>3</v>
      </c>
      <c r="J117" s="20" t="s">
        <v>33</v>
      </c>
      <c r="K117" s="20">
        <v>4</v>
      </c>
      <c r="L117" s="20"/>
      <c r="M117" s="20"/>
      <c r="N117" s="33" t="s">
        <v>44</v>
      </c>
      <c r="O117" s="33" t="s">
        <v>44</v>
      </c>
      <c r="P117" s="20"/>
      <c r="Q117" s="20"/>
      <c r="R117" s="44">
        <v>3</v>
      </c>
      <c r="S117" s="40" t="s">
        <v>44</v>
      </c>
      <c r="T117" s="37">
        <f t="shared" si="11"/>
        <v>305</v>
      </c>
      <c r="U117" s="38">
        <f t="shared" si="9"/>
        <v>1134.1425000000002</v>
      </c>
      <c r="V117" s="37">
        <v>5</v>
      </c>
      <c r="W117" s="38">
        <f t="shared" si="10"/>
        <v>18.592500000000001</v>
      </c>
    </row>
    <row r="118" spans="1:23" s="1" customFormat="1" ht="22" customHeight="1" x14ac:dyDescent="0.25">
      <c r="A118" s="18">
        <v>15</v>
      </c>
      <c r="B118" s="19" t="s">
        <v>142</v>
      </c>
      <c r="C118" s="20">
        <v>3116</v>
      </c>
      <c r="D118" s="20">
        <v>1110</v>
      </c>
      <c r="E118" s="19">
        <v>1</v>
      </c>
      <c r="F118" s="21">
        <v>3.4587599999999998</v>
      </c>
      <c r="G118" s="21">
        <f t="shared" si="8"/>
        <v>3.4587599999999998</v>
      </c>
      <c r="H118" s="20" t="s">
        <v>43</v>
      </c>
      <c r="I118" s="34">
        <v>3</v>
      </c>
      <c r="J118" s="20" t="s">
        <v>33</v>
      </c>
      <c r="K118" s="20">
        <v>4</v>
      </c>
      <c r="L118" s="20"/>
      <c r="M118" s="20"/>
      <c r="N118" s="33" t="s">
        <v>44</v>
      </c>
      <c r="O118" s="33" t="s">
        <v>44</v>
      </c>
      <c r="P118" s="20"/>
      <c r="Q118" s="20"/>
      <c r="R118" s="44">
        <v>3</v>
      </c>
      <c r="S118" s="40" t="s">
        <v>44</v>
      </c>
      <c r="T118" s="37">
        <f t="shared" si="11"/>
        <v>305</v>
      </c>
      <c r="U118" s="38">
        <f t="shared" si="9"/>
        <v>1054.9217999999998</v>
      </c>
      <c r="V118" s="37">
        <v>5</v>
      </c>
      <c r="W118" s="38">
        <f t="shared" si="10"/>
        <v>17.293799999999997</v>
      </c>
    </row>
    <row r="119" spans="1:23" s="1" customFormat="1" ht="22" customHeight="1" x14ac:dyDescent="0.25">
      <c r="A119" s="18">
        <v>16</v>
      </c>
      <c r="B119" s="19" t="s">
        <v>143</v>
      </c>
      <c r="C119" s="20">
        <v>2753</v>
      </c>
      <c r="D119" s="20">
        <v>1110</v>
      </c>
      <c r="E119" s="19">
        <v>1</v>
      </c>
      <c r="F119" s="21">
        <v>3.0558299999999998</v>
      </c>
      <c r="G119" s="21">
        <f t="shared" si="8"/>
        <v>3.0558299999999998</v>
      </c>
      <c r="H119" s="20" t="s">
        <v>43</v>
      </c>
      <c r="I119" s="34">
        <v>3</v>
      </c>
      <c r="J119" s="20" t="s">
        <v>33</v>
      </c>
      <c r="K119" s="20">
        <v>4</v>
      </c>
      <c r="L119" s="20"/>
      <c r="M119" s="20"/>
      <c r="N119" s="33" t="s">
        <v>44</v>
      </c>
      <c r="O119" s="33" t="s">
        <v>44</v>
      </c>
      <c r="P119" s="20"/>
      <c r="Q119" s="20"/>
      <c r="R119" s="44">
        <v>3</v>
      </c>
      <c r="S119" s="40" t="s">
        <v>44</v>
      </c>
      <c r="T119" s="37">
        <f t="shared" si="11"/>
        <v>305</v>
      </c>
      <c r="U119" s="38">
        <f t="shared" si="9"/>
        <v>932.02814999999998</v>
      </c>
      <c r="V119" s="37">
        <v>5</v>
      </c>
      <c r="W119" s="38">
        <f t="shared" si="10"/>
        <v>15.27915</v>
      </c>
    </row>
    <row r="120" spans="1:23" s="1" customFormat="1" ht="22" customHeight="1" x14ac:dyDescent="0.25">
      <c r="A120" s="18">
        <v>17</v>
      </c>
      <c r="B120" s="19" t="s">
        <v>144</v>
      </c>
      <c r="C120" s="20">
        <v>3116</v>
      </c>
      <c r="D120" s="20">
        <v>1526</v>
      </c>
      <c r="E120" s="19">
        <v>1</v>
      </c>
      <c r="F120" s="21">
        <v>4.7550160000000004</v>
      </c>
      <c r="G120" s="21">
        <f t="shared" si="8"/>
        <v>4.7550160000000004</v>
      </c>
      <c r="H120" s="20" t="s">
        <v>43</v>
      </c>
      <c r="I120" s="34">
        <v>3</v>
      </c>
      <c r="J120" s="20" t="s">
        <v>62</v>
      </c>
      <c r="K120" s="20">
        <v>6</v>
      </c>
      <c r="L120" s="20"/>
      <c r="M120" s="20"/>
      <c r="N120" s="33">
        <v>1.6</v>
      </c>
      <c r="O120" s="33" t="s">
        <v>44</v>
      </c>
      <c r="P120" s="20"/>
      <c r="Q120" s="20"/>
      <c r="R120" s="44">
        <v>4</v>
      </c>
      <c r="S120" s="40" t="s">
        <v>44</v>
      </c>
      <c r="T120" s="37">
        <f>305+50+20</f>
        <v>375</v>
      </c>
      <c r="U120" s="38">
        <f t="shared" si="9"/>
        <v>1783.1310000000001</v>
      </c>
      <c r="V120" s="37">
        <v>5</v>
      </c>
      <c r="W120" s="38">
        <f t="shared" si="10"/>
        <v>23.775080000000003</v>
      </c>
    </row>
    <row r="121" spans="1:23" s="1" customFormat="1" ht="22" customHeight="1" x14ac:dyDescent="0.25">
      <c r="A121" s="18">
        <v>18</v>
      </c>
      <c r="B121" s="19" t="s">
        <v>145</v>
      </c>
      <c r="C121" s="20">
        <v>1553</v>
      </c>
      <c r="D121" s="20">
        <v>3370</v>
      </c>
      <c r="E121" s="19">
        <v>1</v>
      </c>
      <c r="F121" s="21">
        <v>5.2336099999999997</v>
      </c>
      <c r="G121" s="21">
        <f t="shared" si="8"/>
        <v>5.2336099999999997</v>
      </c>
      <c r="H121" s="20" t="s">
        <v>43</v>
      </c>
      <c r="I121" s="34">
        <v>3</v>
      </c>
      <c r="J121" s="20" t="s">
        <v>62</v>
      </c>
      <c r="K121" s="20">
        <v>6</v>
      </c>
      <c r="L121" s="20"/>
      <c r="M121" s="20"/>
      <c r="N121" s="33">
        <v>1.6</v>
      </c>
      <c r="O121" s="33" t="s">
        <v>44</v>
      </c>
      <c r="P121" s="20"/>
      <c r="Q121" s="20"/>
      <c r="R121" s="44">
        <v>5</v>
      </c>
      <c r="S121" s="40" t="s">
        <v>44</v>
      </c>
      <c r="T121" s="37">
        <f>305+50+20</f>
        <v>375</v>
      </c>
      <c r="U121" s="38">
        <f t="shared" si="9"/>
        <v>1962.6037499999998</v>
      </c>
      <c r="V121" s="37">
        <v>5</v>
      </c>
      <c r="W121" s="38">
        <f t="shared" si="10"/>
        <v>26.168049999999997</v>
      </c>
    </row>
    <row r="122" spans="1:23" s="1" customFormat="1" ht="22" customHeight="1" x14ac:dyDescent="0.25">
      <c r="A122" s="18">
        <v>19</v>
      </c>
      <c r="B122" s="19" t="s">
        <v>146</v>
      </c>
      <c r="C122" s="20">
        <v>1244</v>
      </c>
      <c r="D122" s="20">
        <v>3370</v>
      </c>
      <c r="E122" s="19">
        <v>1</v>
      </c>
      <c r="F122" s="21">
        <v>4.1922800000000002</v>
      </c>
      <c r="G122" s="21">
        <f t="shared" si="8"/>
        <v>4.1922800000000002</v>
      </c>
      <c r="H122" s="20" t="s">
        <v>43</v>
      </c>
      <c r="I122" s="34">
        <v>3</v>
      </c>
      <c r="J122" s="20" t="s">
        <v>62</v>
      </c>
      <c r="K122" s="20">
        <v>4</v>
      </c>
      <c r="L122" s="20"/>
      <c r="M122" s="20"/>
      <c r="N122" s="33" t="s">
        <v>44</v>
      </c>
      <c r="O122" s="33" t="s">
        <v>44</v>
      </c>
      <c r="P122" s="20"/>
      <c r="Q122" s="20"/>
      <c r="R122" s="44">
        <v>6</v>
      </c>
      <c r="S122" s="40" t="s">
        <v>44</v>
      </c>
      <c r="T122" s="37">
        <f>305+50</f>
        <v>355</v>
      </c>
      <c r="U122" s="38">
        <f t="shared" si="9"/>
        <v>1488.2594000000001</v>
      </c>
      <c r="V122" s="37">
        <v>5</v>
      </c>
      <c r="W122" s="38">
        <f t="shared" si="10"/>
        <v>20.961400000000001</v>
      </c>
    </row>
    <row r="123" spans="1:23" s="1" customFormat="1" ht="22" customHeight="1" x14ac:dyDescent="0.25">
      <c r="A123" s="18">
        <v>20</v>
      </c>
      <c r="B123" s="19" t="s">
        <v>147</v>
      </c>
      <c r="C123" s="20">
        <v>1366</v>
      </c>
      <c r="D123" s="20">
        <v>3370</v>
      </c>
      <c r="E123" s="19">
        <v>1</v>
      </c>
      <c r="F123" s="21">
        <v>4.6034199999999998</v>
      </c>
      <c r="G123" s="21">
        <f t="shared" si="8"/>
        <v>4.6034199999999998</v>
      </c>
      <c r="H123" s="20" t="s">
        <v>43</v>
      </c>
      <c r="I123" s="34">
        <v>3</v>
      </c>
      <c r="J123" s="20" t="s">
        <v>62</v>
      </c>
      <c r="K123" s="20">
        <v>4</v>
      </c>
      <c r="L123" s="20"/>
      <c r="M123" s="20"/>
      <c r="N123" s="33"/>
      <c r="O123" s="33" t="s">
        <v>44</v>
      </c>
      <c r="P123" s="20"/>
      <c r="Q123" s="20"/>
      <c r="R123" s="44">
        <v>6</v>
      </c>
      <c r="S123" s="40" t="s">
        <v>44</v>
      </c>
      <c r="T123" s="37">
        <f>305+50</f>
        <v>355</v>
      </c>
      <c r="U123" s="38">
        <f t="shared" si="9"/>
        <v>1634.2140999999999</v>
      </c>
      <c r="V123" s="37">
        <v>5</v>
      </c>
      <c r="W123" s="38">
        <f t="shared" si="10"/>
        <v>23.017099999999999</v>
      </c>
    </row>
    <row r="124" spans="1:23" s="1" customFormat="1" ht="22" customHeight="1" x14ac:dyDescent="0.25">
      <c r="A124" s="18">
        <v>21</v>
      </c>
      <c r="B124" s="19" t="s">
        <v>148</v>
      </c>
      <c r="C124" s="20">
        <v>1319</v>
      </c>
      <c r="D124" s="20">
        <v>2988</v>
      </c>
      <c r="E124" s="19">
        <v>3</v>
      </c>
      <c r="F124" s="21">
        <v>3.9411719999999999</v>
      </c>
      <c r="G124" s="21">
        <f t="shared" si="8"/>
        <v>11.823516</v>
      </c>
      <c r="H124" s="20" t="s">
        <v>43</v>
      </c>
      <c r="I124" s="34">
        <v>3</v>
      </c>
      <c r="J124" s="20" t="s">
        <v>33</v>
      </c>
      <c r="K124" s="20">
        <v>4</v>
      </c>
      <c r="L124" s="20"/>
      <c r="M124" s="20"/>
      <c r="N124" s="33"/>
      <c r="O124" s="33" t="s">
        <v>44</v>
      </c>
      <c r="P124" s="20"/>
      <c r="Q124" s="20"/>
      <c r="R124" s="44">
        <v>7</v>
      </c>
      <c r="S124" s="40" t="s">
        <v>44</v>
      </c>
      <c r="T124" s="37">
        <f t="shared" ref="T124:T134" si="12">305</f>
        <v>305</v>
      </c>
      <c r="U124" s="38">
        <f t="shared" si="9"/>
        <v>3606.17238</v>
      </c>
      <c r="V124" s="37">
        <v>5</v>
      </c>
      <c r="W124" s="38">
        <f t="shared" si="10"/>
        <v>59.117579999999997</v>
      </c>
    </row>
    <row r="125" spans="1:23" s="1" customFormat="1" ht="22" customHeight="1" x14ac:dyDescent="0.25">
      <c r="A125" s="18">
        <v>22</v>
      </c>
      <c r="B125" s="19" t="s">
        <v>149</v>
      </c>
      <c r="C125" s="20">
        <v>1319</v>
      </c>
      <c r="D125" s="20">
        <v>3794</v>
      </c>
      <c r="E125" s="19">
        <v>1</v>
      </c>
      <c r="F125" s="21">
        <v>5.0042859999999996</v>
      </c>
      <c r="G125" s="21">
        <f t="shared" si="8"/>
        <v>5.0042859999999996</v>
      </c>
      <c r="H125" s="20" t="s">
        <v>43</v>
      </c>
      <c r="I125" s="34">
        <v>3</v>
      </c>
      <c r="J125" s="20" t="s">
        <v>33</v>
      </c>
      <c r="K125" s="20">
        <v>4</v>
      </c>
      <c r="L125" s="20"/>
      <c r="M125" s="20"/>
      <c r="N125" s="33"/>
      <c r="O125" s="33" t="s">
        <v>44</v>
      </c>
      <c r="P125" s="20"/>
      <c r="Q125" s="20"/>
      <c r="R125" s="44">
        <v>7</v>
      </c>
      <c r="S125" s="40" t="s">
        <v>44</v>
      </c>
      <c r="T125" s="37">
        <f t="shared" si="12"/>
        <v>305</v>
      </c>
      <c r="U125" s="38">
        <f t="shared" si="9"/>
        <v>1526.3072299999999</v>
      </c>
      <c r="V125" s="37">
        <v>5</v>
      </c>
      <c r="W125" s="38">
        <f t="shared" si="10"/>
        <v>25.021429999999999</v>
      </c>
    </row>
    <row r="126" spans="1:23" s="1" customFormat="1" ht="22" customHeight="1" x14ac:dyDescent="0.25">
      <c r="A126" s="18">
        <v>23</v>
      </c>
      <c r="B126" s="19" t="s">
        <v>150</v>
      </c>
      <c r="C126" s="20">
        <v>1319</v>
      </c>
      <c r="D126" s="20">
        <v>3350</v>
      </c>
      <c r="E126" s="19">
        <v>1</v>
      </c>
      <c r="F126" s="21">
        <v>4.4186500000000004</v>
      </c>
      <c r="G126" s="21">
        <f t="shared" si="8"/>
        <v>4.4186500000000004</v>
      </c>
      <c r="H126" s="20" t="s">
        <v>43</v>
      </c>
      <c r="I126" s="34">
        <v>3</v>
      </c>
      <c r="J126" s="20" t="s">
        <v>33</v>
      </c>
      <c r="K126" s="20">
        <v>4</v>
      </c>
      <c r="L126" s="20"/>
      <c r="M126" s="20"/>
      <c r="N126" s="33"/>
      <c r="O126" s="33" t="s">
        <v>44</v>
      </c>
      <c r="P126" s="20"/>
      <c r="Q126" s="20"/>
      <c r="R126" s="44">
        <v>7</v>
      </c>
      <c r="S126" s="40" t="s">
        <v>44</v>
      </c>
      <c r="T126" s="37">
        <f t="shared" si="12"/>
        <v>305</v>
      </c>
      <c r="U126" s="38">
        <f t="shared" si="9"/>
        <v>1347.6882500000002</v>
      </c>
      <c r="V126" s="37">
        <v>5</v>
      </c>
      <c r="W126" s="38">
        <f t="shared" si="10"/>
        <v>22.093250000000001</v>
      </c>
    </row>
    <row r="127" spans="1:23" s="1" customFormat="1" ht="22" customHeight="1" x14ac:dyDescent="0.25">
      <c r="A127" s="18">
        <v>24</v>
      </c>
      <c r="B127" s="19" t="s">
        <v>151</v>
      </c>
      <c r="C127" s="20">
        <v>1319</v>
      </c>
      <c r="D127" s="20">
        <v>3116</v>
      </c>
      <c r="E127" s="19">
        <v>1</v>
      </c>
      <c r="F127" s="21">
        <v>4.110004</v>
      </c>
      <c r="G127" s="21">
        <f t="shared" si="8"/>
        <v>4.110004</v>
      </c>
      <c r="H127" s="20" t="s">
        <v>43</v>
      </c>
      <c r="I127" s="34">
        <v>3</v>
      </c>
      <c r="J127" s="20" t="s">
        <v>33</v>
      </c>
      <c r="K127" s="20">
        <v>4</v>
      </c>
      <c r="L127" s="20"/>
      <c r="M127" s="20"/>
      <c r="N127" s="33"/>
      <c r="O127" s="33" t="s">
        <v>44</v>
      </c>
      <c r="P127" s="20"/>
      <c r="Q127" s="20"/>
      <c r="R127" s="44">
        <v>7</v>
      </c>
      <c r="S127" s="40" t="s">
        <v>44</v>
      </c>
      <c r="T127" s="37">
        <f t="shared" si="12"/>
        <v>305</v>
      </c>
      <c r="U127" s="38">
        <f t="shared" si="9"/>
        <v>1253.5512200000001</v>
      </c>
      <c r="V127" s="37">
        <v>5</v>
      </c>
      <c r="W127" s="38">
        <f t="shared" si="10"/>
        <v>20.55002</v>
      </c>
    </row>
    <row r="128" spans="1:23" s="1" customFormat="1" ht="22" customHeight="1" x14ac:dyDescent="0.25">
      <c r="A128" s="18">
        <v>25</v>
      </c>
      <c r="B128" s="19" t="s">
        <v>152</v>
      </c>
      <c r="C128" s="20">
        <v>1319</v>
      </c>
      <c r="D128" s="20">
        <v>2753</v>
      </c>
      <c r="E128" s="19">
        <v>1</v>
      </c>
      <c r="F128" s="21">
        <v>3.6312069999999999</v>
      </c>
      <c r="G128" s="21">
        <f t="shared" si="8"/>
        <v>3.6312069999999999</v>
      </c>
      <c r="H128" s="20" t="s">
        <v>43</v>
      </c>
      <c r="I128" s="34">
        <v>3</v>
      </c>
      <c r="J128" s="20" t="s">
        <v>33</v>
      </c>
      <c r="K128" s="20">
        <v>4</v>
      </c>
      <c r="L128" s="20"/>
      <c r="M128" s="20"/>
      <c r="N128" s="33"/>
      <c r="O128" s="33" t="s">
        <v>44</v>
      </c>
      <c r="P128" s="20"/>
      <c r="Q128" s="20"/>
      <c r="R128" s="44">
        <v>7</v>
      </c>
      <c r="S128" s="40" t="s">
        <v>44</v>
      </c>
      <c r="T128" s="37">
        <f t="shared" si="12"/>
        <v>305</v>
      </c>
      <c r="U128" s="38">
        <f t="shared" si="9"/>
        <v>1107.518135</v>
      </c>
      <c r="V128" s="37">
        <v>5</v>
      </c>
      <c r="W128" s="38">
        <f t="shared" si="10"/>
        <v>18.156034999999999</v>
      </c>
    </row>
    <row r="129" spans="1:24" s="1" customFormat="1" ht="22" customHeight="1" x14ac:dyDescent="0.25">
      <c r="A129" s="18">
        <v>26</v>
      </c>
      <c r="B129" s="19" t="s">
        <v>153</v>
      </c>
      <c r="C129" s="20">
        <v>3165</v>
      </c>
      <c r="D129" s="20">
        <v>1126</v>
      </c>
      <c r="E129" s="19">
        <v>1</v>
      </c>
      <c r="F129" s="21">
        <v>3.56379</v>
      </c>
      <c r="G129" s="21">
        <f t="shared" si="8"/>
        <v>3.56379</v>
      </c>
      <c r="H129" s="20" t="s">
        <v>43</v>
      </c>
      <c r="I129" s="34">
        <v>3</v>
      </c>
      <c r="J129" s="20" t="s">
        <v>33</v>
      </c>
      <c r="K129" s="20">
        <v>5</v>
      </c>
      <c r="L129" s="20"/>
      <c r="M129" s="20"/>
      <c r="N129" s="33"/>
      <c r="O129" s="33" t="s">
        <v>44</v>
      </c>
      <c r="P129" s="20"/>
      <c r="Q129" s="20"/>
      <c r="R129" s="44">
        <v>8</v>
      </c>
      <c r="S129" s="40" t="s">
        <v>44</v>
      </c>
      <c r="T129" s="37">
        <f t="shared" si="12"/>
        <v>305</v>
      </c>
      <c r="U129" s="38">
        <f t="shared" si="9"/>
        <v>1086.95595</v>
      </c>
      <c r="V129" s="37">
        <v>5</v>
      </c>
      <c r="W129" s="38">
        <f t="shared" si="10"/>
        <v>17.818950000000001</v>
      </c>
    </row>
    <row r="130" spans="1:24" s="1" customFormat="1" ht="22" customHeight="1" x14ac:dyDescent="0.25">
      <c r="A130" s="18">
        <v>27</v>
      </c>
      <c r="B130" s="19" t="s">
        <v>154</v>
      </c>
      <c r="C130" s="20">
        <v>3165</v>
      </c>
      <c r="D130" s="20">
        <v>1319</v>
      </c>
      <c r="E130" s="19">
        <v>1</v>
      </c>
      <c r="F130" s="21">
        <v>4.1746350000000003</v>
      </c>
      <c r="G130" s="21">
        <f t="shared" si="8"/>
        <v>4.1746350000000003</v>
      </c>
      <c r="H130" s="20" t="s">
        <v>43</v>
      </c>
      <c r="I130" s="34">
        <v>3</v>
      </c>
      <c r="J130" s="20" t="s">
        <v>33</v>
      </c>
      <c r="K130" s="20">
        <v>5</v>
      </c>
      <c r="L130" s="20"/>
      <c r="M130" s="20"/>
      <c r="N130" s="33"/>
      <c r="O130" s="33" t="s">
        <v>44</v>
      </c>
      <c r="P130" s="20"/>
      <c r="Q130" s="20"/>
      <c r="R130" s="44">
        <v>9</v>
      </c>
      <c r="S130" s="40" t="s">
        <v>44</v>
      </c>
      <c r="T130" s="37">
        <f t="shared" si="12"/>
        <v>305</v>
      </c>
      <c r="U130" s="38">
        <f t="shared" si="9"/>
        <v>1273.2636750000001</v>
      </c>
      <c r="V130" s="37">
        <v>5</v>
      </c>
      <c r="W130" s="38">
        <f t="shared" si="10"/>
        <v>20.873175000000003</v>
      </c>
    </row>
    <row r="131" spans="1:24" s="1" customFormat="1" ht="22" customHeight="1" x14ac:dyDescent="0.25">
      <c r="A131" s="18">
        <v>28</v>
      </c>
      <c r="B131" s="19" t="s">
        <v>155</v>
      </c>
      <c r="C131" s="20">
        <v>1358</v>
      </c>
      <c r="D131" s="20">
        <v>1114</v>
      </c>
      <c r="E131" s="19">
        <v>1</v>
      </c>
      <c r="F131" s="21">
        <v>1.512812</v>
      </c>
      <c r="G131" s="21">
        <f t="shared" si="8"/>
        <v>1.512812</v>
      </c>
      <c r="H131" s="20" t="s">
        <v>43</v>
      </c>
      <c r="I131" s="34">
        <v>3</v>
      </c>
      <c r="J131" s="20" t="s">
        <v>33</v>
      </c>
      <c r="K131" s="20">
        <v>4</v>
      </c>
      <c r="L131" s="20"/>
      <c r="M131" s="20"/>
      <c r="N131" s="33"/>
      <c r="O131" s="33" t="s">
        <v>44</v>
      </c>
      <c r="P131" s="20"/>
      <c r="Q131" s="20"/>
      <c r="R131" s="44">
        <v>10</v>
      </c>
      <c r="S131" s="40" t="s">
        <v>44</v>
      </c>
      <c r="T131" s="37">
        <f t="shared" si="12"/>
        <v>305</v>
      </c>
      <c r="U131" s="38">
        <f t="shared" si="9"/>
        <v>461.40766000000002</v>
      </c>
      <c r="V131" s="37">
        <v>5</v>
      </c>
      <c r="W131" s="38">
        <f t="shared" si="10"/>
        <v>7.5640600000000004</v>
      </c>
    </row>
    <row r="132" spans="1:24" s="1" customFormat="1" ht="22" customHeight="1" x14ac:dyDescent="0.25">
      <c r="A132" s="18">
        <v>29</v>
      </c>
      <c r="B132" s="19" t="s">
        <v>156</v>
      </c>
      <c r="C132" s="20">
        <v>1328</v>
      </c>
      <c r="D132" s="20">
        <v>1886</v>
      </c>
      <c r="E132" s="19">
        <v>3</v>
      </c>
      <c r="F132" s="21">
        <v>2.5046080000000002</v>
      </c>
      <c r="G132" s="21">
        <f t="shared" si="8"/>
        <v>7.5138240000000005</v>
      </c>
      <c r="H132" s="20" t="s">
        <v>43</v>
      </c>
      <c r="I132" s="34">
        <v>3</v>
      </c>
      <c r="J132" s="20" t="s">
        <v>33</v>
      </c>
      <c r="K132" s="20">
        <v>4</v>
      </c>
      <c r="L132" s="20"/>
      <c r="M132" s="20"/>
      <c r="N132" s="33"/>
      <c r="O132" s="33" t="s">
        <v>44</v>
      </c>
      <c r="P132" s="20"/>
      <c r="Q132" s="20"/>
      <c r="R132" s="44">
        <v>10</v>
      </c>
      <c r="S132" s="40" t="s">
        <v>44</v>
      </c>
      <c r="T132" s="37">
        <f t="shared" si="12"/>
        <v>305</v>
      </c>
      <c r="U132" s="38">
        <f t="shared" si="9"/>
        <v>2291.71632</v>
      </c>
      <c r="V132" s="37">
        <v>5</v>
      </c>
      <c r="W132" s="38">
        <f t="shared" si="10"/>
        <v>37.569120000000005</v>
      </c>
    </row>
    <row r="133" spans="1:24" s="1" customFormat="1" ht="22" customHeight="1" x14ac:dyDescent="0.25">
      <c r="A133" s="18">
        <v>30</v>
      </c>
      <c r="B133" s="19" t="s">
        <v>157</v>
      </c>
      <c r="C133" s="20">
        <v>1328</v>
      </c>
      <c r="D133" s="20">
        <v>1812</v>
      </c>
      <c r="E133" s="19">
        <v>1</v>
      </c>
      <c r="F133" s="21">
        <v>2.406336</v>
      </c>
      <c r="G133" s="21">
        <f t="shared" si="8"/>
        <v>2.406336</v>
      </c>
      <c r="H133" s="20" t="s">
        <v>43</v>
      </c>
      <c r="I133" s="34">
        <v>3</v>
      </c>
      <c r="J133" s="20" t="s">
        <v>33</v>
      </c>
      <c r="K133" s="20">
        <v>4</v>
      </c>
      <c r="L133" s="20"/>
      <c r="M133" s="20"/>
      <c r="N133" s="33"/>
      <c r="O133" s="33" t="s">
        <v>44</v>
      </c>
      <c r="P133" s="20"/>
      <c r="Q133" s="20"/>
      <c r="R133" s="44">
        <v>10</v>
      </c>
      <c r="S133" s="40" t="s">
        <v>44</v>
      </c>
      <c r="T133" s="37">
        <f t="shared" si="12"/>
        <v>305</v>
      </c>
      <c r="U133" s="38">
        <f t="shared" si="9"/>
        <v>733.93248000000006</v>
      </c>
      <c r="V133" s="37">
        <v>5</v>
      </c>
      <c r="W133" s="38">
        <f t="shared" si="10"/>
        <v>12.03168</v>
      </c>
      <c r="X133" s="1">
        <f>SUM(U104:U134)</f>
        <v>38456.543709999998</v>
      </c>
    </row>
    <row r="134" spans="1:24" s="1" customFormat="1" ht="22" customHeight="1" x14ac:dyDescent="0.25">
      <c r="A134" s="18">
        <v>31</v>
      </c>
      <c r="B134" s="19" t="s">
        <v>158</v>
      </c>
      <c r="C134" s="20">
        <v>1328</v>
      </c>
      <c r="D134" s="20">
        <v>1358</v>
      </c>
      <c r="E134" s="19">
        <v>1</v>
      </c>
      <c r="F134" s="21">
        <v>1.8034239999999999</v>
      </c>
      <c r="G134" s="21">
        <f t="shared" si="8"/>
        <v>1.8034239999999999</v>
      </c>
      <c r="H134" s="20" t="s">
        <v>43</v>
      </c>
      <c r="I134" s="34">
        <v>3</v>
      </c>
      <c r="J134" s="20" t="s">
        <v>33</v>
      </c>
      <c r="K134" s="20">
        <v>4</v>
      </c>
      <c r="L134" s="20"/>
      <c r="M134" s="20"/>
      <c r="N134" s="33"/>
      <c r="O134" s="33" t="s">
        <v>44</v>
      </c>
      <c r="P134" s="20"/>
      <c r="Q134" s="20"/>
      <c r="R134" s="44">
        <v>11</v>
      </c>
      <c r="S134" s="40" t="s">
        <v>44</v>
      </c>
      <c r="T134" s="37">
        <f t="shared" si="12"/>
        <v>305</v>
      </c>
      <c r="U134" s="38">
        <f t="shared" si="9"/>
        <v>550.04431999999997</v>
      </c>
      <c r="V134" s="37">
        <v>5</v>
      </c>
      <c r="W134" s="38">
        <f t="shared" si="10"/>
        <v>9.0171200000000002</v>
      </c>
      <c r="X134" s="1">
        <f>SUM(W104:W134)</f>
        <v>600.95783000000006</v>
      </c>
    </row>
    <row r="135" spans="1:24" s="1" customFormat="1" ht="22" customHeight="1" x14ac:dyDescent="0.25">
      <c r="A135" s="22"/>
      <c r="B135" s="23" t="s">
        <v>34</v>
      </c>
      <c r="C135" s="24"/>
      <c r="D135" s="24"/>
      <c r="E135" s="25">
        <f>SUM(E104:E134)</f>
        <v>41</v>
      </c>
      <c r="F135" s="26"/>
      <c r="G135" s="25">
        <f>SUM(G104:G134)</f>
        <v>120.19156599999998</v>
      </c>
      <c r="H135" s="28"/>
      <c r="I135" s="28"/>
      <c r="J135" s="28"/>
      <c r="K135" s="28"/>
      <c r="L135" s="25">
        <v>0</v>
      </c>
      <c r="M135" s="25">
        <v>0</v>
      </c>
      <c r="N135" s="28"/>
      <c r="O135" s="28"/>
      <c r="P135" s="28"/>
      <c r="Q135" s="25">
        <v>0</v>
      </c>
      <c r="R135" s="42"/>
      <c r="S135" s="43"/>
      <c r="X135" s="57">
        <f>SUM(X133:X134)</f>
        <v>39057.501539999997</v>
      </c>
    </row>
    <row r="136" spans="1:24" s="1" customFormat="1" ht="22" customHeight="1" x14ac:dyDescent="0.25">
      <c r="A136" s="66" t="s">
        <v>36</v>
      </c>
      <c r="B136" s="67"/>
      <c r="C136" s="67"/>
      <c r="D136" s="67"/>
      <c r="E136" s="67"/>
      <c r="F136" s="67"/>
      <c r="G136" s="68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9"/>
      <c r="S136" s="70"/>
    </row>
    <row r="137" spans="1:24" s="1" customFormat="1" ht="22" customHeight="1" x14ac:dyDescent="0.25">
      <c r="A137" s="71" t="s">
        <v>37</v>
      </c>
      <c r="B137" s="72"/>
      <c r="C137" s="72"/>
      <c r="D137" s="72"/>
      <c r="E137" s="72"/>
      <c r="F137" s="72"/>
      <c r="G137" s="73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4"/>
      <c r="S137" s="75"/>
    </row>
    <row r="138" spans="1:24" s="1" customFormat="1" ht="22" customHeight="1" x14ac:dyDescent="0.25">
      <c r="A138" s="114" t="s">
        <v>179</v>
      </c>
      <c r="B138" s="72"/>
      <c r="C138" s="72"/>
      <c r="D138" s="72"/>
      <c r="E138" s="72"/>
      <c r="F138" s="72"/>
      <c r="G138" s="73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4"/>
      <c r="S138" s="75"/>
    </row>
    <row r="139" spans="1:24" s="1" customFormat="1" ht="22" customHeight="1" x14ac:dyDescent="0.25">
      <c r="A139" s="71" t="s">
        <v>40</v>
      </c>
      <c r="B139" s="72"/>
      <c r="C139" s="72"/>
      <c r="D139" s="72"/>
      <c r="E139" s="72"/>
      <c r="F139" s="72"/>
      <c r="G139" s="73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4"/>
      <c r="S139" s="75"/>
    </row>
    <row r="140" spans="1:24" s="1" customFormat="1" ht="22" customHeight="1" x14ac:dyDescent="0.25">
      <c r="A140" s="76" t="s">
        <v>41</v>
      </c>
      <c r="B140" s="77"/>
      <c r="C140" s="77"/>
      <c r="D140" s="77"/>
      <c r="E140" s="77"/>
      <c r="F140" s="77"/>
      <c r="G140" s="78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9"/>
      <c r="S140" s="106"/>
    </row>
    <row r="141" spans="1:24" s="1" customFormat="1" ht="37" customHeight="1" x14ac:dyDescent="0.25">
      <c r="A141" s="7" t="s">
        <v>0</v>
      </c>
      <c r="B141" s="8"/>
      <c r="C141" s="9"/>
      <c r="D141" s="10"/>
      <c r="E141" s="10"/>
      <c r="F141" s="88" t="s">
        <v>176</v>
      </c>
      <c r="G141" s="89"/>
      <c r="H141" s="90"/>
      <c r="I141" s="90"/>
      <c r="J141" s="90"/>
      <c r="K141" s="90"/>
      <c r="L141" s="90"/>
      <c r="M141" s="90"/>
      <c r="N141" s="90"/>
      <c r="O141" s="100"/>
      <c r="P141" s="101"/>
      <c r="Q141" s="100"/>
      <c r="R141" s="101"/>
      <c r="S141" s="104"/>
    </row>
    <row r="142" spans="1:24" s="1" customFormat="1" ht="37" customHeight="1" x14ac:dyDescent="0.25">
      <c r="A142" s="11"/>
      <c r="B142" s="12"/>
      <c r="C142" s="13"/>
      <c r="D142" s="14"/>
      <c r="E142" s="14"/>
      <c r="F142" s="91" t="s">
        <v>177</v>
      </c>
      <c r="G142" s="92"/>
      <c r="H142" s="93"/>
      <c r="I142" s="93"/>
      <c r="J142" s="93"/>
      <c r="K142" s="93"/>
      <c r="L142" s="93"/>
      <c r="M142" s="93"/>
      <c r="N142" s="93"/>
      <c r="O142" s="102"/>
      <c r="P142" s="103"/>
      <c r="Q142" s="102"/>
      <c r="R142" s="103"/>
      <c r="S142" s="105"/>
    </row>
    <row r="143" spans="1:24" s="2" customFormat="1" ht="22" customHeight="1" x14ac:dyDescent="0.25">
      <c r="A143" s="94" t="s">
        <v>2</v>
      </c>
      <c r="B143" s="60"/>
      <c r="C143" s="95" t="s">
        <v>45</v>
      </c>
      <c r="D143" s="95"/>
      <c r="E143" s="95"/>
      <c r="F143" s="95"/>
      <c r="G143" s="16" t="s">
        <v>3</v>
      </c>
      <c r="H143" s="15" t="s">
        <v>71</v>
      </c>
      <c r="I143" s="15" t="s">
        <v>4</v>
      </c>
      <c r="J143" s="96" t="s">
        <v>48</v>
      </c>
      <c r="K143" s="96"/>
      <c r="L143" s="96"/>
      <c r="M143" s="63" t="s">
        <v>5</v>
      </c>
      <c r="N143" s="64"/>
      <c r="O143" s="97"/>
      <c r="P143" s="98"/>
      <c r="Q143" s="64"/>
      <c r="R143" s="64"/>
      <c r="S143" s="65"/>
    </row>
    <row r="144" spans="1:24" s="2" customFormat="1" ht="22" customHeight="1" x14ac:dyDescent="0.25">
      <c r="A144" s="94" t="s">
        <v>6</v>
      </c>
      <c r="B144" s="60"/>
      <c r="C144" s="60"/>
      <c r="D144" s="60"/>
      <c r="E144" s="60"/>
      <c r="F144" s="60"/>
      <c r="G144" s="99"/>
      <c r="H144" s="60"/>
      <c r="I144" s="60"/>
      <c r="J144" s="60"/>
      <c r="K144" s="60"/>
      <c r="L144" s="60"/>
      <c r="M144" s="63" t="s">
        <v>7</v>
      </c>
      <c r="N144" s="64"/>
      <c r="O144" s="63" t="s">
        <v>72</v>
      </c>
      <c r="P144" s="64"/>
      <c r="Q144" s="64"/>
      <c r="R144" s="64"/>
      <c r="S144" s="65"/>
    </row>
    <row r="145" spans="1:23" s="2" customFormat="1" ht="22" customHeight="1" x14ac:dyDescent="0.25">
      <c r="A145" s="80" t="s">
        <v>8</v>
      </c>
      <c r="B145" s="81" t="s">
        <v>9</v>
      </c>
      <c r="C145" s="60" t="s">
        <v>10</v>
      </c>
      <c r="D145" s="61"/>
      <c r="E145" s="83" t="s">
        <v>11</v>
      </c>
      <c r="F145" s="84" t="s">
        <v>12</v>
      </c>
      <c r="G145" s="86" t="s">
        <v>13</v>
      </c>
      <c r="H145" s="17" t="s">
        <v>14</v>
      </c>
      <c r="I145" s="62" t="s">
        <v>127</v>
      </c>
      <c r="J145" s="61"/>
      <c r="K145" s="61"/>
      <c r="L145" s="61"/>
      <c r="M145" s="63" t="s">
        <v>15</v>
      </c>
      <c r="N145" s="64"/>
      <c r="O145" s="63" t="s">
        <v>73</v>
      </c>
      <c r="P145" s="64"/>
      <c r="Q145" s="64"/>
      <c r="R145" s="64"/>
      <c r="S145" s="65"/>
    </row>
    <row r="146" spans="1:23" s="2" customFormat="1" ht="22" customHeight="1" x14ac:dyDescent="0.25">
      <c r="A146" s="80"/>
      <c r="B146" s="82"/>
      <c r="C146" s="15" t="s">
        <v>16</v>
      </c>
      <c r="D146" s="15" t="s">
        <v>17</v>
      </c>
      <c r="E146" s="61"/>
      <c r="F146" s="85"/>
      <c r="G146" s="87"/>
      <c r="H146" s="15" t="s">
        <v>18</v>
      </c>
      <c r="I146" s="30" t="s">
        <v>19</v>
      </c>
      <c r="J146" s="15" t="s">
        <v>20</v>
      </c>
      <c r="K146" s="15" t="s">
        <v>21</v>
      </c>
      <c r="L146" s="15" t="s">
        <v>22</v>
      </c>
      <c r="M146" s="15" t="s">
        <v>23</v>
      </c>
      <c r="N146" s="15" t="s">
        <v>24</v>
      </c>
      <c r="O146" s="15" t="s">
        <v>25</v>
      </c>
      <c r="P146" s="15" t="s">
        <v>26</v>
      </c>
      <c r="Q146" s="15" t="s">
        <v>27</v>
      </c>
      <c r="R146" s="31" t="s">
        <v>28</v>
      </c>
      <c r="S146" s="36" t="s">
        <v>29</v>
      </c>
      <c r="T146" s="37" t="s">
        <v>30</v>
      </c>
      <c r="U146" s="38" t="s">
        <v>31</v>
      </c>
      <c r="V146" s="45" t="s">
        <v>32</v>
      </c>
      <c r="W146" s="46"/>
    </row>
    <row r="147" spans="1:23" s="1" customFormat="1" ht="22" customHeight="1" x14ac:dyDescent="0.25">
      <c r="A147" s="18">
        <v>1</v>
      </c>
      <c r="B147" s="19" t="s">
        <v>159</v>
      </c>
      <c r="C147" s="20">
        <v>763</v>
      </c>
      <c r="D147" s="20">
        <v>2988</v>
      </c>
      <c r="E147" s="19">
        <v>3</v>
      </c>
      <c r="F147" s="21">
        <v>2.2798440000000002</v>
      </c>
      <c r="G147" s="21">
        <f t="shared" ref="G147:G163" si="13">F147*E147</f>
        <v>6.8395320000000002</v>
      </c>
      <c r="H147" s="20" t="s">
        <v>74</v>
      </c>
      <c r="I147" s="34">
        <v>3</v>
      </c>
      <c r="J147" s="20" t="s">
        <v>33</v>
      </c>
      <c r="K147" s="20">
        <v>5</v>
      </c>
      <c r="L147" s="20"/>
      <c r="M147" s="20"/>
      <c r="N147" s="33" t="s">
        <v>44</v>
      </c>
      <c r="O147" s="33" t="s">
        <v>44</v>
      </c>
      <c r="P147" s="20"/>
      <c r="Q147" s="20"/>
      <c r="R147" s="44">
        <v>1</v>
      </c>
      <c r="S147" s="40" t="s">
        <v>44</v>
      </c>
      <c r="T147" s="37">
        <f t="shared" ref="T147:T158" si="14">305</f>
        <v>305</v>
      </c>
      <c r="U147" s="38">
        <f t="shared" ref="U147:U163" si="15">T147*G147</f>
        <v>2086.05726</v>
      </c>
      <c r="V147" s="37">
        <v>5</v>
      </c>
      <c r="W147" s="38">
        <f t="shared" ref="W147:W163" si="16">V147*G147</f>
        <v>34.197659999999999</v>
      </c>
    </row>
    <row r="148" spans="1:23" s="1" customFormat="1" ht="22" customHeight="1" x14ac:dyDescent="0.25">
      <c r="A148" s="18">
        <v>2</v>
      </c>
      <c r="B148" s="19" t="s">
        <v>160</v>
      </c>
      <c r="C148" s="20">
        <v>763</v>
      </c>
      <c r="D148" s="20">
        <v>3794</v>
      </c>
      <c r="E148" s="19">
        <v>1</v>
      </c>
      <c r="F148" s="21">
        <v>2.894822</v>
      </c>
      <c r="G148" s="21">
        <f t="shared" si="13"/>
        <v>2.894822</v>
      </c>
      <c r="H148" s="20" t="s">
        <v>74</v>
      </c>
      <c r="I148" s="34">
        <v>3</v>
      </c>
      <c r="J148" s="20" t="s">
        <v>33</v>
      </c>
      <c r="K148" s="20">
        <v>5</v>
      </c>
      <c r="L148" s="20"/>
      <c r="M148" s="20"/>
      <c r="N148" s="33" t="s">
        <v>44</v>
      </c>
      <c r="O148" s="33" t="s">
        <v>44</v>
      </c>
      <c r="P148" s="20"/>
      <c r="Q148" s="20"/>
      <c r="R148" s="44">
        <v>1</v>
      </c>
      <c r="S148" s="40" t="s">
        <v>44</v>
      </c>
      <c r="T148" s="37">
        <f t="shared" si="14"/>
        <v>305</v>
      </c>
      <c r="U148" s="38">
        <f t="shared" si="15"/>
        <v>882.92070999999999</v>
      </c>
      <c r="V148" s="37">
        <v>5</v>
      </c>
      <c r="W148" s="38">
        <f t="shared" si="16"/>
        <v>14.47411</v>
      </c>
    </row>
    <row r="149" spans="1:23" s="1" customFormat="1" ht="22" customHeight="1" x14ac:dyDescent="0.25">
      <c r="A149" s="18">
        <v>3</v>
      </c>
      <c r="B149" s="19" t="s">
        <v>161</v>
      </c>
      <c r="C149" s="20">
        <v>763</v>
      </c>
      <c r="D149" s="20">
        <v>3350</v>
      </c>
      <c r="E149" s="19">
        <v>1</v>
      </c>
      <c r="F149" s="21">
        <v>2.5560499999999999</v>
      </c>
      <c r="G149" s="21">
        <f t="shared" si="13"/>
        <v>2.5560499999999999</v>
      </c>
      <c r="H149" s="20" t="s">
        <v>74</v>
      </c>
      <c r="I149" s="34">
        <v>3</v>
      </c>
      <c r="J149" s="20" t="s">
        <v>33</v>
      </c>
      <c r="K149" s="20">
        <v>5</v>
      </c>
      <c r="L149" s="20"/>
      <c r="M149" s="20"/>
      <c r="N149" s="33" t="s">
        <v>44</v>
      </c>
      <c r="O149" s="33" t="s">
        <v>44</v>
      </c>
      <c r="P149" s="20"/>
      <c r="Q149" s="20"/>
      <c r="R149" s="44">
        <v>1</v>
      </c>
      <c r="S149" s="40" t="s">
        <v>44</v>
      </c>
      <c r="T149" s="37">
        <f t="shared" si="14"/>
        <v>305</v>
      </c>
      <c r="U149" s="38">
        <f t="shared" si="15"/>
        <v>779.59524999999996</v>
      </c>
      <c r="V149" s="37">
        <v>5</v>
      </c>
      <c r="W149" s="38">
        <f t="shared" si="16"/>
        <v>12.780249999999999</v>
      </c>
    </row>
    <row r="150" spans="1:23" s="1" customFormat="1" ht="22" customHeight="1" x14ac:dyDescent="0.25">
      <c r="A150" s="18">
        <v>5</v>
      </c>
      <c r="B150" s="19" t="s">
        <v>162</v>
      </c>
      <c r="C150" s="20">
        <v>763</v>
      </c>
      <c r="D150" s="20">
        <v>2753</v>
      </c>
      <c r="E150" s="19">
        <v>1</v>
      </c>
      <c r="F150" s="21">
        <v>2.1005389999999999</v>
      </c>
      <c r="G150" s="21">
        <f t="shared" si="13"/>
        <v>2.1005389999999999</v>
      </c>
      <c r="H150" s="20" t="s">
        <v>74</v>
      </c>
      <c r="I150" s="34">
        <v>3</v>
      </c>
      <c r="J150" s="20" t="s">
        <v>33</v>
      </c>
      <c r="K150" s="20">
        <v>5</v>
      </c>
      <c r="L150" s="20"/>
      <c r="M150" s="20"/>
      <c r="N150" s="33" t="s">
        <v>44</v>
      </c>
      <c r="O150" s="33" t="s">
        <v>44</v>
      </c>
      <c r="P150" s="20"/>
      <c r="Q150" s="20"/>
      <c r="R150" s="44">
        <v>1</v>
      </c>
      <c r="S150" s="40" t="s">
        <v>44</v>
      </c>
      <c r="T150" s="37">
        <f t="shared" si="14"/>
        <v>305</v>
      </c>
      <c r="U150" s="38">
        <f t="shared" si="15"/>
        <v>640.66439500000001</v>
      </c>
      <c r="V150" s="37">
        <v>5</v>
      </c>
      <c r="W150" s="38">
        <f t="shared" si="16"/>
        <v>10.502694999999999</v>
      </c>
    </row>
    <row r="151" spans="1:23" s="1" customFormat="1" ht="22" customHeight="1" x14ac:dyDescent="0.25">
      <c r="A151" s="18">
        <v>7</v>
      </c>
      <c r="B151" s="19" t="s">
        <v>163</v>
      </c>
      <c r="C151" s="20">
        <v>120</v>
      </c>
      <c r="D151" s="20">
        <v>1886</v>
      </c>
      <c r="E151" s="19">
        <v>3</v>
      </c>
      <c r="F151" s="21">
        <v>0.3</v>
      </c>
      <c r="G151" s="21">
        <f t="shared" si="13"/>
        <v>0.89999999999999991</v>
      </c>
      <c r="H151" s="20" t="s">
        <v>74</v>
      </c>
      <c r="I151" s="34">
        <v>3</v>
      </c>
      <c r="J151" s="20" t="s">
        <v>33</v>
      </c>
      <c r="K151" s="20">
        <v>4</v>
      </c>
      <c r="L151" s="20"/>
      <c r="M151" s="20"/>
      <c r="N151" s="33" t="s">
        <v>44</v>
      </c>
      <c r="O151" s="33" t="s">
        <v>44</v>
      </c>
      <c r="P151" s="20"/>
      <c r="Q151" s="20"/>
      <c r="R151" s="44">
        <v>2</v>
      </c>
      <c r="S151" s="40" t="s">
        <v>46</v>
      </c>
      <c r="T151" s="37">
        <f t="shared" si="14"/>
        <v>305</v>
      </c>
      <c r="U151" s="38">
        <f t="shared" si="15"/>
        <v>274.5</v>
      </c>
      <c r="V151" s="37">
        <v>5</v>
      </c>
      <c r="W151" s="38">
        <f t="shared" si="16"/>
        <v>4.5</v>
      </c>
    </row>
    <row r="152" spans="1:23" s="1" customFormat="1" ht="22" customHeight="1" x14ac:dyDescent="0.25">
      <c r="A152" s="18">
        <v>9</v>
      </c>
      <c r="B152" s="19" t="s">
        <v>164</v>
      </c>
      <c r="C152" s="20">
        <v>160</v>
      </c>
      <c r="D152" s="20">
        <v>2790</v>
      </c>
      <c r="E152" s="19">
        <v>1</v>
      </c>
      <c r="F152" s="21">
        <v>0.44640000000000002</v>
      </c>
      <c r="G152" s="21">
        <f t="shared" si="13"/>
        <v>0.44640000000000002</v>
      </c>
      <c r="H152" s="20" t="s">
        <v>74</v>
      </c>
      <c r="I152" s="34">
        <v>3</v>
      </c>
      <c r="J152" s="20" t="s">
        <v>33</v>
      </c>
      <c r="K152" s="20">
        <v>4</v>
      </c>
      <c r="L152" s="20"/>
      <c r="M152" s="20"/>
      <c r="N152" s="33" t="s">
        <v>44</v>
      </c>
      <c r="O152" s="33" t="s">
        <v>44</v>
      </c>
      <c r="P152" s="20"/>
      <c r="Q152" s="20"/>
      <c r="R152" s="44">
        <v>2</v>
      </c>
      <c r="S152" s="40" t="s">
        <v>47</v>
      </c>
      <c r="T152" s="37">
        <f t="shared" si="14"/>
        <v>305</v>
      </c>
      <c r="U152" s="38">
        <f t="shared" si="15"/>
        <v>136.15200000000002</v>
      </c>
      <c r="V152" s="37">
        <v>5</v>
      </c>
      <c r="W152" s="38">
        <f t="shared" si="16"/>
        <v>2.2320000000000002</v>
      </c>
    </row>
    <row r="153" spans="1:23" s="1" customFormat="1" ht="22" customHeight="1" x14ac:dyDescent="0.25">
      <c r="A153" s="18">
        <v>11</v>
      </c>
      <c r="B153" s="19" t="s">
        <v>165</v>
      </c>
      <c r="C153" s="20">
        <v>305</v>
      </c>
      <c r="D153" s="20">
        <v>2753</v>
      </c>
      <c r="E153" s="19">
        <v>1</v>
      </c>
      <c r="F153" s="21">
        <v>0.83966499999999999</v>
      </c>
      <c r="G153" s="21">
        <f t="shared" si="13"/>
        <v>0.83966499999999999</v>
      </c>
      <c r="H153" s="20" t="s">
        <v>74</v>
      </c>
      <c r="I153" s="34">
        <v>3</v>
      </c>
      <c r="J153" s="20" t="s">
        <v>33</v>
      </c>
      <c r="K153" s="20">
        <v>4</v>
      </c>
      <c r="L153" s="20"/>
      <c r="M153" s="20"/>
      <c r="N153" s="33" t="s">
        <v>44</v>
      </c>
      <c r="O153" s="33" t="s">
        <v>44</v>
      </c>
      <c r="P153" s="20"/>
      <c r="Q153" s="20"/>
      <c r="R153" s="44">
        <v>2</v>
      </c>
      <c r="S153" s="40" t="s">
        <v>44</v>
      </c>
      <c r="T153" s="37">
        <f t="shared" si="14"/>
        <v>305</v>
      </c>
      <c r="U153" s="38">
        <f t="shared" si="15"/>
        <v>256.097825</v>
      </c>
      <c r="V153" s="37">
        <v>5</v>
      </c>
      <c r="W153" s="38">
        <f t="shared" si="16"/>
        <v>4.1983249999999996</v>
      </c>
    </row>
    <row r="154" spans="1:23" s="1" customFormat="1" ht="22" customHeight="1" x14ac:dyDescent="0.25">
      <c r="A154" s="18">
        <v>12</v>
      </c>
      <c r="B154" s="19" t="s">
        <v>166</v>
      </c>
      <c r="C154" s="20">
        <v>543</v>
      </c>
      <c r="D154" s="20">
        <v>2988</v>
      </c>
      <c r="E154" s="19">
        <v>3</v>
      </c>
      <c r="F154" s="21">
        <v>1.622484</v>
      </c>
      <c r="G154" s="21">
        <f t="shared" si="13"/>
        <v>4.8674520000000001</v>
      </c>
      <c r="H154" s="20" t="s">
        <v>74</v>
      </c>
      <c r="I154" s="34">
        <v>3</v>
      </c>
      <c r="J154" s="20" t="s">
        <v>33</v>
      </c>
      <c r="K154" s="20">
        <v>5</v>
      </c>
      <c r="L154" s="20"/>
      <c r="M154" s="20"/>
      <c r="N154" s="33" t="s">
        <v>44</v>
      </c>
      <c r="O154" s="33" t="s">
        <v>44</v>
      </c>
      <c r="P154" s="20"/>
      <c r="Q154" s="20"/>
      <c r="R154" s="44">
        <v>3</v>
      </c>
      <c r="S154" s="40" t="s">
        <v>44</v>
      </c>
      <c r="T154" s="37">
        <f t="shared" si="14"/>
        <v>305</v>
      </c>
      <c r="U154" s="38">
        <f t="shared" si="15"/>
        <v>1484.57286</v>
      </c>
      <c r="V154" s="37">
        <v>5</v>
      </c>
      <c r="W154" s="38">
        <f t="shared" si="16"/>
        <v>24.337260000000001</v>
      </c>
    </row>
    <row r="155" spans="1:23" s="1" customFormat="1" ht="22" customHeight="1" x14ac:dyDescent="0.25">
      <c r="A155" s="18">
        <v>13</v>
      </c>
      <c r="B155" s="19" t="s">
        <v>167</v>
      </c>
      <c r="C155" s="20">
        <v>543</v>
      </c>
      <c r="D155" s="20">
        <v>3794</v>
      </c>
      <c r="E155" s="19">
        <v>1</v>
      </c>
      <c r="F155" s="21">
        <v>2.0601419999999999</v>
      </c>
      <c r="G155" s="21">
        <f t="shared" si="13"/>
        <v>2.0601419999999999</v>
      </c>
      <c r="H155" s="20" t="s">
        <v>74</v>
      </c>
      <c r="I155" s="34">
        <v>3</v>
      </c>
      <c r="J155" s="20" t="s">
        <v>33</v>
      </c>
      <c r="K155" s="20">
        <v>5</v>
      </c>
      <c r="L155" s="20"/>
      <c r="M155" s="20"/>
      <c r="N155" s="33" t="s">
        <v>44</v>
      </c>
      <c r="O155" s="33" t="s">
        <v>44</v>
      </c>
      <c r="P155" s="20"/>
      <c r="Q155" s="20"/>
      <c r="R155" s="44">
        <v>3</v>
      </c>
      <c r="S155" s="40" t="s">
        <v>44</v>
      </c>
      <c r="T155" s="37">
        <f t="shared" si="14"/>
        <v>305</v>
      </c>
      <c r="U155" s="38">
        <f t="shared" si="15"/>
        <v>628.34330999999997</v>
      </c>
      <c r="V155" s="37">
        <v>5</v>
      </c>
      <c r="W155" s="38">
        <f t="shared" si="16"/>
        <v>10.300709999999999</v>
      </c>
    </row>
    <row r="156" spans="1:23" s="4" customFormat="1" ht="22" customHeight="1" x14ac:dyDescent="0.25">
      <c r="A156" s="51">
        <v>14</v>
      </c>
      <c r="B156" s="52" t="s">
        <v>168</v>
      </c>
      <c r="C156" s="53">
        <v>543</v>
      </c>
      <c r="D156" s="53">
        <v>3350</v>
      </c>
      <c r="E156" s="52">
        <v>1</v>
      </c>
      <c r="F156" s="54">
        <v>1.8190500000000001</v>
      </c>
      <c r="G156" s="21">
        <f t="shared" si="13"/>
        <v>1.8190500000000001</v>
      </c>
      <c r="H156" s="53" t="s">
        <v>74</v>
      </c>
      <c r="I156" s="55">
        <v>3</v>
      </c>
      <c r="J156" s="53" t="s">
        <v>33</v>
      </c>
      <c r="K156" s="53">
        <v>5</v>
      </c>
      <c r="L156" s="53"/>
      <c r="M156" s="53"/>
      <c r="N156" s="56" t="s">
        <v>44</v>
      </c>
      <c r="O156" s="56" t="s">
        <v>44</v>
      </c>
      <c r="P156" s="53"/>
      <c r="Q156" s="53"/>
      <c r="R156" s="58">
        <v>3</v>
      </c>
      <c r="S156" s="59" t="s">
        <v>44</v>
      </c>
      <c r="T156" s="37">
        <f t="shared" si="14"/>
        <v>305</v>
      </c>
      <c r="U156" s="38">
        <f t="shared" si="15"/>
        <v>554.81025</v>
      </c>
      <c r="V156" s="37">
        <v>5</v>
      </c>
      <c r="W156" s="38">
        <f t="shared" si="16"/>
        <v>9.0952500000000001</v>
      </c>
    </row>
    <row r="157" spans="1:23" s="1" customFormat="1" ht="22" customHeight="1" x14ac:dyDescent="0.25">
      <c r="A157" s="18">
        <v>15</v>
      </c>
      <c r="B157" s="19" t="s">
        <v>169</v>
      </c>
      <c r="C157" s="20">
        <v>763</v>
      </c>
      <c r="D157" s="20">
        <v>3015</v>
      </c>
      <c r="E157" s="19">
        <v>1</v>
      </c>
      <c r="F157" s="21">
        <v>2.3004449999999999</v>
      </c>
      <c r="G157" s="21">
        <f t="shared" si="13"/>
        <v>2.3004449999999999</v>
      </c>
      <c r="H157" s="20" t="s">
        <v>74</v>
      </c>
      <c r="I157" s="34">
        <v>3</v>
      </c>
      <c r="J157" s="20" t="s">
        <v>33</v>
      </c>
      <c r="K157" s="20">
        <v>6</v>
      </c>
      <c r="L157" s="20"/>
      <c r="M157" s="20"/>
      <c r="N157" s="33" t="s">
        <v>44</v>
      </c>
      <c r="O157" s="33" t="s">
        <v>44</v>
      </c>
      <c r="P157" s="20"/>
      <c r="Q157" s="20"/>
      <c r="R157" s="44">
        <v>4</v>
      </c>
      <c r="S157" s="40" t="s">
        <v>44</v>
      </c>
      <c r="T157" s="37">
        <f t="shared" si="14"/>
        <v>305</v>
      </c>
      <c r="U157" s="38">
        <f t="shared" si="15"/>
        <v>701.63572499999998</v>
      </c>
      <c r="V157" s="37">
        <v>5</v>
      </c>
      <c r="W157" s="38">
        <f t="shared" si="16"/>
        <v>11.502224999999999</v>
      </c>
    </row>
    <row r="158" spans="1:23" s="1" customFormat="1" ht="22" customHeight="1" x14ac:dyDescent="0.25">
      <c r="A158" s="18">
        <v>16</v>
      </c>
      <c r="B158" s="19" t="s">
        <v>170</v>
      </c>
      <c r="C158" s="20">
        <v>543</v>
      </c>
      <c r="D158" s="20">
        <v>3015</v>
      </c>
      <c r="E158" s="19">
        <v>1</v>
      </c>
      <c r="F158" s="21">
        <v>1.6371450000000001</v>
      </c>
      <c r="G158" s="21">
        <f t="shared" si="13"/>
        <v>1.6371450000000001</v>
      </c>
      <c r="H158" s="20" t="s">
        <v>74</v>
      </c>
      <c r="I158" s="34">
        <v>3</v>
      </c>
      <c r="J158" s="20" t="s">
        <v>33</v>
      </c>
      <c r="K158" s="20">
        <v>6</v>
      </c>
      <c r="L158" s="20"/>
      <c r="M158" s="20"/>
      <c r="N158" s="33" t="s">
        <v>44</v>
      </c>
      <c r="O158" s="33" t="s">
        <v>44</v>
      </c>
      <c r="P158" s="20"/>
      <c r="Q158" s="20"/>
      <c r="R158" s="44">
        <v>5</v>
      </c>
      <c r="S158" s="40" t="s">
        <v>44</v>
      </c>
      <c r="T158" s="37">
        <f t="shared" si="14"/>
        <v>305</v>
      </c>
      <c r="U158" s="38">
        <f t="shared" si="15"/>
        <v>499.32922500000001</v>
      </c>
      <c r="V158" s="37">
        <v>5</v>
      </c>
      <c r="W158" s="38">
        <f t="shared" si="16"/>
        <v>8.1857249999999997</v>
      </c>
    </row>
    <row r="159" spans="1:23" s="1" customFormat="1" ht="22" customHeight="1" x14ac:dyDescent="0.25">
      <c r="A159" s="18">
        <v>22</v>
      </c>
      <c r="B159" s="19" t="s">
        <v>171</v>
      </c>
      <c r="C159" s="20">
        <v>870</v>
      </c>
      <c r="D159" s="20">
        <v>1388</v>
      </c>
      <c r="E159" s="19">
        <v>1</v>
      </c>
      <c r="F159" s="21">
        <v>1.20756</v>
      </c>
      <c r="G159" s="21">
        <f t="shared" si="13"/>
        <v>1.20756</v>
      </c>
      <c r="H159" s="20" t="s">
        <v>74</v>
      </c>
      <c r="I159" s="34">
        <v>3</v>
      </c>
      <c r="J159" s="20" t="s">
        <v>49</v>
      </c>
      <c r="K159" s="20">
        <v>7</v>
      </c>
      <c r="L159" s="20"/>
      <c r="M159" s="20"/>
      <c r="N159" s="33" t="s">
        <v>44</v>
      </c>
      <c r="O159" s="33" t="s">
        <v>44</v>
      </c>
      <c r="P159" s="20"/>
      <c r="Q159" s="20"/>
      <c r="R159" s="44">
        <v>7</v>
      </c>
      <c r="S159" s="40" t="s">
        <v>44</v>
      </c>
      <c r="T159" s="37">
        <f>305+30</f>
        <v>335</v>
      </c>
      <c r="U159" s="38">
        <f t="shared" si="15"/>
        <v>404.5326</v>
      </c>
      <c r="V159" s="37">
        <v>5</v>
      </c>
      <c r="W159" s="38">
        <f t="shared" si="16"/>
        <v>6.0377999999999998</v>
      </c>
    </row>
    <row r="160" spans="1:23" s="1" customFormat="1" ht="22" customHeight="1" x14ac:dyDescent="0.25">
      <c r="A160" s="18">
        <v>24</v>
      </c>
      <c r="B160" s="19" t="s">
        <v>172</v>
      </c>
      <c r="C160" s="20">
        <v>1129</v>
      </c>
      <c r="D160" s="20">
        <v>2360</v>
      </c>
      <c r="E160" s="19">
        <v>1</v>
      </c>
      <c r="F160" s="21">
        <v>2.6644399999999999</v>
      </c>
      <c r="G160" s="21">
        <f t="shared" si="13"/>
        <v>2.6644399999999999</v>
      </c>
      <c r="H160" s="20" t="s">
        <v>74</v>
      </c>
      <c r="I160" s="34">
        <v>3</v>
      </c>
      <c r="J160" s="20" t="s">
        <v>33</v>
      </c>
      <c r="K160" s="20">
        <v>4</v>
      </c>
      <c r="L160" s="20"/>
      <c r="M160" s="20"/>
      <c r="N160" s="33" t="s">
        <v>44</v>
      </c>
      <c r="O160" s="33" t="s">
        <v>44</v>
      </c>
      <c r="P160" s="20"/>
      <c r="Q160" s="20"/>
      <c r="R160" s="44">
        <v>8</v>
      </c>
      <c r="S160" s="40" t="s">
        <v>44</v>
      </c>
      <c r="T160" s="37">
        <f t="shared" ref="T160:T162" si="17">305</f>
        <v>305</v>
      </c>
      <c r="U160" s="38">
        <f t="shared" si="15"/>
        <v>812.65419999999995</v>
      </c>
      <c r="V160" s="37">
        <v>5</v>
      </c>
      <c r="W160" s="38">
        <f t="shared" si="16"/>
        <v>13.322199999999999</v>
      </c>
    </row>
    <row r="161" spans="1:24" s="1" customFormat="1" ht="22" customHeight="1" x14ac:dyDescent="0.25">
      <c r="A161" s="18">
        <v>25</v>
      </c>
      <c r="B161" s="19" t="s">
        <v>173</v>
      </c>
      <c r="C161" s="20">
        <v>1140</v>
      </c>
      <c r="D161" s="20">
        <v>2360</v>
      </c>
      <c r="E161" s="19">
        <v>1</v>
      </c>
      <c r="F161" s="21">
        <v>2.6903999999999999</v>
      </c>
      <c r="G161" s="21">
        <f t="shared" si="13"/>
        <v>2.6903999999999999</v>
      </c>
      <c r="H161" s="20" t="s">
        <v>74</v>
      </c>
      <c r="I161" s="34">
        <v>3</v>
      </c>
      <c r="J161" s="20" t="s">
        <v>33</v>
      </c>
      <c r="K161" s="20">
        <v>4</v>
      </c>
      <c r="L161" s="20"/>
      <c r="M161" s="20"/>
      <c r="N161" s="33" t="s">
        <v>44</v>
      </c>
      <c r="O161" s="33" t="s">
        <v>44</v>
      </c>
      <c r="P161" s="20"/>
      <c r="Q161" s="20"/>
      <c r="R161" s="44">
        <v>8</v>
      </c>
      <c r="S161" s="40" t="s">
        <v>44</v>
      </c>
      <c r="T161" s="37">
        <f t="shared" si="17"/>
        <v>305</v>
      </c>
      <c r="U161" s="38">
        <f t="shared" si="15"/>
        <v>820.572</v>
      </c>
      <c r="V161" s="37">
        <v>5</v>
      </c>
      <c r="W161" s="38">
        <f t="shared" si="16"/>
        <v>13.452</v>
      </c>
    </row>
    <row r="162" spans="1:24" s="1" customFormat="1" ht="22" customHeight="1" x14ac:dyDescent="0.25">
      <c r="A162" s="18">
        <v>28</v>
      </c>
      <c r="B162" s="19" t="s">
        <v>174</v>
      </c>
      <c r="C162" s="20">
        <v>1129</v>
      </c>
      <c r="D162" s="20">
        <v>1350</v>
      </c>
      <c r="E162" s="19">
        <v>1</v>
      </c>
      <c r="F162" s="21">
        <v>1.5241499999999999</v>
      </c>
      <c r="G162" s="21">
        <f t="shared" si="13"/>
        <v>1.5241499999999999</v>
      </c>
      <c r="H162" s="20" t="s">
        <v>74</v>
      </c>
      <c r="I162" s="34">
        <v>3</v>
      </c>
      <c r="J162" s="20" t="s">
        <v>33</v>
      </c>
      <c r="K162" s="20">
        <v>4</v>
      </c>
      <c r="L162" s="20"/>
      <c r="M162" s="20"/>
      <c r="N162" s="33" t="s">
        <v>44</v>
      </c>
      <c r="O162" s="33" t="s">
        <v>44</v>
      </c>
      <c r="P162" s="20"/>
      <c r="Q162" s="20"/>
      <c r="R162" s="44">
        <v>8</v>
      </c>
      <c r="S162" s="40" t="s">
        <v>44</v>
      </c>
      <c r="T162" s="37">
        <f t="shared" si="17"/>
        <v>305</v>
      </c>
      <c r="U162" s="38">
        <f t="shared" si="15"/>
        <v>464.86574999999999</v>
      </c>
      <c r="V162" s="37">
        <v>5</v>
      </c>
      <c r="W162" s="38">
        <f t="shared" si="16"/>
        <v>7.6207499999999992</v>
      </c>
      <c r="X162" s="1">
        <f>SUM(U147:U163)</f>
        <v>12649.901360000002</v>
      </c>
    </row>
    <row r="163" spans="1:24" s="1" customFormat="1" ht="22" customHeight="1" x14ac:dyDescent="0.25">
      <c r="A163" s="18">
        <v>30</v>
      </c>
      <c r="B163" s="19" t="s">
        <v>75</v>
      </c>
      <c r="C163" s="20">
        <v>1594</v>
      </c>
      <c r="D163" s="20">
        <v>2360</v>
      </c>
      <c r="E163" s="19">
        <v>1</v>
      </c>
      <c r="F163" s="21">
        <v>3.7618399999999999</v>
      </c>
      <c r="G163" s="21">
        <f t="shared" si="13"/>
        <v>3.7618399999999999</v>
      </c>
      <c r="H163" s="20" t="s">
        <v>74</v>
      </c>
      <c r="I163" s="34">
        <v>3</v>
      </c>
      <c r="J163" s="20" t="s">
        <v>33</v>
      </c>
      <c r="K163" s="20">
        <v>4</v>
      </c>
      <c r="L163" s="20"/>
      <c r="M163" s="20"/>
      <c r="N163" s="33">
        <v>1.7</v>
      </c>
      <c r="O163" s="33" t="s">
        <v>44</v>
      </c>
      <c r="P163" s="20"/>
      <c r="Q163" s="20"/>
      <c r="R163" s="44">
        <v>9</v>
      </c>
      <c r="S163" s="40" t="s">
        <v>44</v>
      </c>
      <c r="T163" s="37">
        <f>305+20</f>
        <v>325</v>
      </c>
      <c r="U163" s="38">
        <f t="shared" si="15"/>
        <v>1222.598</v>
      </c>
      <c r="V163" s="37">
        <v>5</v>
      </c>
      <c r="W163" s="38">
        <f t="shared" si="16"/>
        <v>18.809200000000001</v>
      </c>
      <c r="X163" s="1">
        <f>SUM(W147:W163)</f>
        <v>205.54816</v>
      </c>
    </row>
    <row r="164" spans="1:24" s="1" customFormat="1" ht="22" customHeight="1" x14ac:dyDescent="0.25">
      <c r="A164" s="22"/>
      <c r="B164" s="23" t="s">
        <v>34</v>
      </c>
      <c r="C164" s="24"/>
      <c r="D164" s="24"/>
      <c r="E164" s="25">
        <f>SUM(E147:E163)</f>
        <v>23</v>
      </c>
      <c r="F164" s="26"/>
      <c r="G164" s="25">
        <f>SUM(G147:G163)</f>
        <v>41.109631999999998</v>
      </c>
      <c r="H164" s="28"/>
      <c r="I164" s="28"/>
      <c r="J164" s="28"/>
      <c r="K164" s="28"/>
      <c r="L164" s="25">
        <v>0</v>
      </c>
      <c r="M164" s="25">
        <v>0</v>
      </c>
      <c r="N164" s="28"/>
      <c r="O164" s="28"/>
      <c r="P164" s="28"/>
      <c r="Q164" s="25">
        <v>0</v>
      </c>
      <c r="R164" s="42"/>
      <c r="S164" s="43"/>
      <c r="X164" s="57">
        <f>SUM(X162:X163)</f>
        <v>12855.449520000002</v>
      </c>
    </row>
    <row r="165" spans="1:24" s="1" customFormat="1" ht="22" customHeight="1" x14ac:dyDescent="0.25">
      <c r="A165" s="66" t="s">
        <v>36</v>
      </c>
      <c r="B165" s="67"/>
      <c r="C165" s="67"/>
      <c r="D165" s="67"/>
      <c r="E165" s="67"/>
      <c r="F165" s="67"/>
      <c r="G165" s="68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9"/>
      <c r="S165" s="70"/>
    </row>
    <row r="166" spans="1:24" s="1" customFormat="1" ht="22" customHeight="1" x14ac:dyDescent="0.25">
      <c r="A166" s="71" t="s">
        <v>37</v>
      </c>
      <c r="B166" s="72"/>
      <c r="C166" s="72"/>
      <c r="D166" s="72"/>
      <c r="E166" s="72"/>
      <c r="F166" s="72"/>
      <c r="G166" s="73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4"/>
      <c r="S166" s="75"/>
    </row>
    <row r="167" spans="1:24" s="1" customFormat="1" ht="22" customHeight="1" x14ac:dyDescent="0.25">
      <c r="A167" s="114" t="s">
        <v>179</v>
      </c>
      <c r="B167" s="72"/>
      <c r="C167" s="72"/>
      <c r="D167" s="72"/>
      <c r="E167" s="72"/>
      <c r="F167" s="72"/>
      <c r="G167" s="73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4"/>
      <c r="S167" s="75"/>
    </row>
    <row r="168" spans="1:24" s="1" customFormat="1" ht="22" customHeight="1" x14ac:dyDescent="0.25">
      <c r="A168" s="71" t="s">
        <v>40</v>
      </c>
      <c r="B168" s="72"/>
      <c r="C168" s="72"/>
      <c r="D168" s="72"/>
      <c r="E168" s="72"/>
      <c r="F168" s="72"/>
      <c r="G168" s="73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4"/>
      <c r="S168" s="74"/>
      <c r="T168" s="57" t="s">
        <v>38</v>
      </c>
      <c r="U168" s="57">
        <f>SUM(U1:U167)</f>
        <v>119060.07860707142</v>
      </c>
      <c r="V168" s="57"/>
      <c r="W168" s="57">
        <f>SUM(W1:W167)</f>
        <v>1759.4015595000003</v>
      </c>
    </row>
    <row r="169" spans="1:24" s="1" customFormat="1" ht="22" customHeight="1" x14ac:dyDescent="0.25">
      <c r="A169" s="76" t="s">
        <v>41</v>
      </c>
      <c r="B169" s="77"/>
      <c r="C169" s="77"/>
      <c r="D169" s="77"/>
      <c r="E169" s="77"/>
      <c r="F169" s="77"/>
      <c r="G169" s="78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9"/>
      <c r="S169" s="79"/>
      <c r="T169" s="57" t="s">
        <v>39</v>
      </c>
      <c r="U169" s="57"/>
      <c r="V169" s="57"/>
      <c r="W169" s="57">
        <f>U168+W168</f>
        <v>120819.48016657142</v>
      </c>
      <c r="X169" s="1">
        <f>X164+X135+X93+X79+X64+V7</f>
        <v>120819.48016657145</v>
      </c>
    </row>
  </sheetData>
  <mergeCells count="162">
    <mergeCell ref="F1:N1"/>
    <mergeCell ref="F2:N2"/>
    <mergeCell ref="A3:B3"/>
    <mergeCell ref="C3:F3"/>
    <mergeCell ref="J3:L3"/>
    <mergeCell ref="M3:N3"/>
    <mergeCell ref="O3:S3"/>
    <mergeCell ref="A4:B4"/>
    <mergeCell ref="C4:L4"/>
    <mergeCell ref="M4:N4"/>
    <mergeCell ref="O4:S4"/>
    <mergeCell ref="O1:P2"/>
    <mergeCell ref="Q1:S2"/>
    <mergeCell ref="C5:D5"/>
    <mergeCell ref="I5:L5"/>
    <mergeCell ref="M5:N5"/>
    <mergeCell ref="O5:S5"/>
    <mergeCell ref="A9:S9"/>
    <mergeCell ref="A10:S10"/>
    <mergeCell ref="A11:S11"/>
    <mergeCell ref="A12:S12"/>
    <mergeCell ref="A13:S13"/>
    <mergeCell ref="A5:A6"/>
    <mergeCell ref="B5:B6"/>
    <mergeCell ref="E5:E6"/>
    <mergeCell ref="F5:F6"/>
    <mergeCell ref="G5:G6"/>
    <mergeCell ref="F14:N14"/>
    <mergeCell ref="F15:N15"/>
    <mergeCell ref="A16:B16"/>
    <mergeCell ref="C16:F16"/>
    <mergeCell ref="J16:L16"/>
    <mergeCell ref="M16:N16"/>
    <mergeCell ref="O16:S16"/>
    <mergeCell ref="A17:B17"/>
    <mergeCell ref="C17:L17"/>
    <mergeCell ref="M17:N17"/>
    <mergeCell ref="O17:S17"/>
    <mergeCell ref="O14:P15"/>
    <mergeCell ref="Q14:S15"/>
    <mergeCell ref="C18:D18"/>
    <mergeCell ref="I18:L18"/>
    <mergeCell ref="M18:N18"/>
    <mergeCell ref="O18:S18"/>
    <mergeCell ref="A65:S65"/>
    <mergeCell ref="A66:S66"/>
    <mergeCell ref="A67:S67"/>
    <mergeCell ref="A68:S68"/>
    <mergeCell ref="A69:S69"/>
    <mergeCell ref="A18:A19"/>
    <mergeCell ref="B18:B19"/>
    <mergeCell ref="E18:E19"/>
    <mergeCell ref="F18:F19"/>
    <mergeCell ref="G18:G19"/>
    <mergeCell ref="F70:N70"/>
    <mergeCell ref="F71:N71"/>
    <mergeCell ref="A72:B72"/>
    <mergeCell ref="C72:F72"/>
    <mergeCell ref="J72:L72"/>
    <mergeCell ref="M72:N72"/>
    <mergeCell ref="O72:S72"/>
    <mergeCell ref="A73:B73"/>
    <mergeCell ref="C73:L73"/>
    <mergeCell ref="M73:N73"/>
    <mergeCell ref="O73:S73"/>
    <mergeCell ref="O70:P71"/>
    <mergeCell ref="Q70:S71"/>
    <mergeCell ref="C74:D74"/>
    <mergeCell ref="I74:L74"/>
    <mergeCell ref="M74:N74"/>
    <mergeCell ref="O74:S74"/>
    <mergeCell ref="A79:S79"/>
    <mergeCell ref="A80:S80"/>
    <mergeCell ref="A81:S81"/>
    <mergeCell ref="A82:S82"/>
    <mergeCell ref="A83:S83"/>
    <mergeCell ref="A74:A75"/>
    <mergeCell ref="B74:B75"/>
    <mergeCell ref="E74:E75"/>
    <mergeCell ref="F74:F75"/>
    <mergeCell ref="G74:G75"/>
    <mergeCell ref="F84:N84"/>
    <mergeCell ref="F85:N85"/>
    <mergeCell ref="A86:B86"/>
    <mergeCell ref="C86:F86"/>
    <mergeCell ref="J86:L86"/>
    <mergeCell ref="M86:N86"/>
    <mergeCell ref="O86:S86"/>
    <mergeCell ref="A87:B87"/>
    <mergeCell ref="C87:L87"/>
    <mergeCell ref="M87:N87"/>
    <mergeCell ref="O87:S87"/>
    <mergeCell ref="O84:P85"/>
    <mergeCell ref="Q84:S85"/>
    <mergeCell ref="C88:D88"/>
    <mergeCell ref="I88:L88"/>
    <mergeCell ref="M88:N88"/>
    <mergeCell ref="O88:S88"/>
    <mergeCell ref="A93:S93"/>
    <mergeCell ref="A94:S94"/>
    <mergeCell ref="A95:S95"/>
    <mergeCell ref="A96:S96"/>
    <mergeCell ref="A97:S97"/>
    <mergeCell ref="A88:A89"/>
    <mergeCell ref="B88:B89"/>
    <mergeCell ref="E88:E89"/>
    <mergeCell ref="F88:F89"/>
    <mergeCell ref="G88:G89"/>
    <mergeCell ref="F98:N98"/>
    <mergeCell ref="F99:N99"/>
    <mergeCell ref="A100:B100"/>
    <mergeCell ref="C100:F100"/>
    <mergeCell ref="J100:L100"/>
    <mergeCell ref="M100:N100"/>
    <mergeCell ref="O100:S100"/>
    <mergeCell ref="A101:B101"/>
    <mergeCell ref="C101:L101"/>
    <mergeCell ref="M101:N101"/>
    <mergeCell ref="O101:S101"/>
    <mergeCell ref="O98:P99"/>
    <mergeCell ref="Q98:S99"/>
    <mergeCell ref="C102:D102"/>
    <mergeCell ref="I102:L102"/>
    <mergeCell ref="M102:N102"/>
    <mergeCell ref="O102:S102"/>
    <mergeCell ref="A136:S136"/>
    <mergeCell ref="A137:S137"/>
    <mergeCell ref="A138:S138"/>
    <mergeCell ref="A139:S139"/>
    <mergeCell ref="A140:S140"/>
    <mergeCell ref="A102:A103"/>
    <mergeCell ref="B102:B103"/>
    <mergeCell ref="E102:E103"/>
    <mergeCell ref="F102:F103"/>
    <mergeCell ref="G102:G103"/>
    <mergeCell ref="F141:N141"/>
    <mergeCell ref="F142:N142"/>
    <mergeCell ref="A143:B143"/>
    <mergeCell ref="C143:F143"/>
    <mergeCell ref="J143:L143"/>
    <mergeCell ref="M143:N143"/>
    <mergeCell ref="O143:S143"/>
    <mergeCell ref="A144:B144"/>
    <mergeCell ref="C144:L144"/>
    <mergeCell ref="M144:N144"/>
    <mergeCell ref="O144:S144"/>
    <mergeCell ref="O141:P142"/>
    <mergeCell ref="Q141:S142"/>
    <mergeCell ref="C145:D145"/>
    <mergeCell ref="I145:L145"/>
    <mergeCell ref="M145:N145"/>
    <mergeCell ref="O145:S145"/>
    <mergeCell ref="A165:S165"/>
    <mergeCell ref="A166:S166"/>
    <mergeCell ref="A167:S167"/>
    <mergeCell ref="A168:S168"/>
    <mergeCell ref="A169:S169"/>
    <mergeCell ref="A145:A146"/>
    <mergeCell ref="B145:B146"/>
    <mergeCell ref="E145:E146"/>
    <mergeCell ref="F145:F146"/>
    <mergeCell ref="G145:G146"/>
  </mergeCells>
  <phoneticPr fontId="12" type="noConversion"/>
  <conditionalFormatting sqref="B5:B8 A9:A13 B1:B2">
    <cfRule type="duplicateValues" dxfId="138" priority="305" stopIfTrue="1"/>
    <cfRule type="duplicateValues" dxfId="137" priority="304" stopIfTrue="1"/>
  </conditionalFormatting>
  <conditionalFormatting sqref="B14:B15 A65:A69">
    <cfRule type="duplicateValues" dxfId="136" priority="259" stopIfTrue="1"/>
    <cfRule type="duplicateValues" dxfId="135" priority="258" stopIfTrue="1"/>
  </conditionalFormatting>
  <conditionalFormatting sqref="B18:B19">
    <cfRule type="duplicateValues" dxfId="134" priority="122" stopIfTrue="1"/>
    <cfRule type="duplicateValues" dxfId="133" priority="123" stopIfTrue="1"/>
  </conditionalFormatting>
  <conditionalFormatting sqref="B20">
    <cfRule type="duplicateValues" dxfId="132" priority="106" stopIfTrue="1"/>
    <cfRule type="duplicateValues" dxfId="131" priority="105" stopIfTrue="1"/>
  </conditionalFormatting>
  <conditionalFormatting sqref="B21:B22">
    <cfRule type="duplicateValues" dxfId="130" priority="101" stopIfTrue="1"/>
    <cfRule type="duplicateValues" dxfId="129" priority="102" stopIfTrue="1"/>
  </conditionalFormatting>
  <conditionalFormatting sqref="B23:B24">
    <cfRule type="duplicateValues" dxfId="128" priority="98" stopIfTrue="1"/>
    <cfRule type="duplicateValues" dxfId="127" priority="97" stopIfTrue="1"/>
  </conditionalFormatting>
  <conditionalFormatting sqref="B25">
    <cfRule type="duplicateValues" dxfId="126" priority="94" stopIfTrue="1"/>
    <cfRule type="duplicateValues" dxfId="125" priority="93" stopIfTrue="1"/>
  </conditionalFormatting>
  <conditionalFormatting sqref="B26:B29">
    <cfRule type="duplicateValues" dxfId="124" priority="90" stopIfTrue="1"/>
    <cfRule type="duplicateValues" dxfId="123" priority="89" stopIfTrue="1"/>
  </conditionalFormatting>
  <conditionalFormatting sqref="B30:B31">
    <cfRule type="duplicateValues" dxfId="122" priority="85" stopIfTrue="1"/>
    <cfRule type="duplicateValues" dxfId="121" priority="86" stopIfTrue="1"/>
  </conditionalFormatting>
  <conditionalFormatting sqref="B32:B35">
    <cfRule type="duplicateValues" dxfId="120" priority="82" stopIfTrue="1"/>
    <cfRule type="duplicateValues" dxfId="119" priority="81" stopIfTrue="1"/>
  </conditionalFormatting>
  <conditionalFormatting sqref="B36">
    <cfRule type="duplicateValues" dxfId="118" priority="77" stopIfTrue="1"/>
    <cfRule type="duplicateValues" dxfId="117" priority="78" stopIfTrue="1"/>
  </conditionalFormatting>
  <conditionalFormatting sqref="B37:B40">
    <cfRule type="duplicateValues" dxfId="116" priority="73" stopIfTrue="1"/>
    <cfRule type="duplicateValues" dxfId="115" priority="74" stopIfTrue="1"/>
  </conditionalFormatting>
  <conditionalFormatting sqref="B41">
    <cfRule type="duplicateValues" dxfId="114" priority="69" stopIfTrue="1"/>
    <cfRule type="duplicateValues" dxfId="113" priority="70" stopIfTrue="1"/>
  </conditionalFormatting>
  <conditionalFormatting sqref="B42:B44">
    <cfRule type="duplicateValues" dxfId="112" priority="66" stopIfTrue="1"/>
    <cfRule type="duplicateValues" dxfId="111" priority="65" stopIfTrue="1"/>
  </conditionalFormatting>
  <conditionalFormatting sqref="B45:B46">
    <cfRule type="duplicateValues" dxfId="110" priority="61" stopIfTrue="1"/>
    <cfRule type="duplicateValues" dxfId="109" priority="62" stopIfTrue="1"/>
  </conditionalFormatting>
  <conditionalFormatting sqref="B47:B56">
    <cfRule type="duplicateValues" dxfId="108" priority="58" stopIfTrue="1"/>
    <cfRule type="duplicateValues" dxfId="107" priority="57" stopIfTrue="1"/>
  </conditionalFormatting>
  <conditionalFormatting sqref="B57:B61">
    <cfRule type="duplicateValues" dxfId="106" priority="54" stopIfTrue="1"/>
    <cfRule type="duplicateValues" dxfId="105" priority="53" stopIfTrue="1"/>
  </conditionalFormatting>
  <conditionalFormatting sqref="B62:B63">
    <cfRule type="duplicateValues" dxfId="104" priority="49" stopIfTrue="1"/>
    <cfRule type="duplicateValues" dxfId="103" priority="50" stopIfTrue="1"/>
  </conditionalFormatting>
  <conditionalFormatting sqref="B74:B75 B70:B71 B78 A79:A83">
    <cfRule type="duplicateValues" dxfId="102" priority="303" stopIfTrue="1"/>
    <cfRule type="duplicateValues" dxfId="101" priority="302" stopIfTrue="1"/>
  </conditionalFormatting>
  <conditionalFormatting sqref="B76:B77">
    <cfRule type="duplicateValues" dxfId="100" priority="287" stopIfTrue="1"/>
    <cfRule type="duplicateValues" dxfId="99" priority="288" stopIfTrue="1"/>
  </conditionalFormatting>
  <conditionalFormatting sqref="B88:B89 B84:B85 B92 A93:A97">
    <cfRule type="duplicateValues" dxfId="98" priority="280" stopIfTrue="1"/>
    <cfRule type="duplicateValues" dxfId="97" priority="281" stopIfTrue="1"/>
  </conditionalFormatting>
  <conditionalFormatting sqref="B90:B91">
    <cfRule type="duplicateValues" dxfId="96" priority="265" stopIfTrue="1"/>
    <cfRule type="duplicateValues" dxfId="95" priority="266" stopIfTrue="1"/>
  </conditionalFormatting>
  <conditionalFormatting sqref="B98:B99 A136:A140 B135">
    <cfRule type="duplicateValues" dxfId="94" priority="256" stopIfTrue="1"/>
    <cfRule type="duplicateValues" dxfId="93" priority="255" stopIfTrue="1"/>
  </conditionalFormatting>
  <conditionalFormatting sqref="B102:B103">
    <cfRule type="duplicateValues" dxfId="92" priority="248" stopIfTrue="1"/>
    <cfRule type="duplicateValues" dxfId="91" priority="249" stopIfTrue="1"/>
  </conditionalFormatting>
  <conditionalFormatting sqref="B104:B113">
    <cfRule type="duplicateValues" dxfId="90" priority="46" stopIfTrue="1"/>
    <cfRule type="duplicateValues" dxfId="89" priority="45" stopIfTrue="1"/>
  </conditionalFormatting>
  <conditionalFormatting sqref="B114:B123">
    <cfRule type="duplicateValues" dxfId="88" priority="42" stopIfTrue="1"/>
    <cfRule type="duplicateValues" dxfId="87" priority="41" stopIfTrue="1"/>
  </conditionalFormatting>
  <conditionalFormatting sqref="B124:B134">
    <cfRule type="duplicateValues" dxfId="86" priority="38" stopIfTrue="1"/>
    <cfRule type="duplicateValues" dxfId="85" priority="37" stopIfTrue="1"/>
  </conditionalFormatting>
  <conditionalFormatting sqref="B145:B146 B141:B142 B164 A165:A169">
    <cfRule type="duplicateValues" dxfId="84" priority="229" stopIfTrue="1"/>
    <cfRule type="duplicateValues" dxfId="83" priority="230" stopIfTrue="1"/>
  </conditionalFormatting>
  <conditionalFormatting sqref="B147:B149">
    <cfRule type="duplicateValues" dxfId="82" priority="34" stopIfTrue="1"/>
    <cfRule type="duplicateValues" dxfId="81" priority="33" stopIfTrue="1"/>
  </conditionalFormatting>
  <conditionalFormatting sqref="B150">
    <cfRule type="duplicateValues" dxfId="80" priority="29" stopIfTrue="1"/>
    <cfRule type="duplicateValues" dxfId="79" priority="30" stopIfTrue="1"/>
  </conditionalFormatting>
  <conditionalFormatting sqref="B151">
    <cfRule type="duplicateValues" dxfId="78" priority="25" stopIfTrue="1"/>
    <cfRule type="duplicateValues" dxfId="77" priority="26" stopIfTrue="1"/>
  </conditionalFormatting>
  <conditionalFormatting sqref="B152">
    <cfRule type="duplicateValues" dxfId="76" priority="21" stopIfTrue="1"/>
    <cfRule type="duplicateValues" dxfId="75" priority="22" stopIfTrue="1"/>
  </conditionalFormatting>
  <conditionalFormatting sqref="B153:B158">
    <cfRule type="duplicateValues" dxfId="74" priority="17" stopIfTrue="1"/>
    <cfRule type="duplicateValues" dxfId="73" priority="18" stopIfTrue="1"/>
  </conditionalFormatting>
  <conditionalFormatting sqref="B159">
    <cfRule type="duplicateValues" dxfId="72" priority="13" stopIfTrue="1"/>
    <cfRule type="duplicateValues" dxfId="71" priority="14" stopIfTrue="1"/>
  </conditionalFormatting>
  <conditionalFormatting sqref="B160:B161">
    <cfRule type="duplicateValues" dxfId="70" priority="9" stopIfTrue="1"/>
    <cfRule type="duplicateValues" dxfId="69" priority="10" stopIfTrue="1"/>
  </conditionalFormatting>
  <conditionalFormatting sqref="B162">
    <cfRule type="duplicateValues" dxfId="68" priority="5" stopIfTrue="1"/>
    <cfRule type="duplicateValues" dxfId="67" priority="6" stopIfTrue="1"/>
  </conditionalFormatting>
  <conditionalFormatting sqref="B163">
    <cfRule type="duplicateValues" dxfId="66" priority="2" stopIfTrue="1"/>
    <cfRule type="duplicateValues" dxfId="65" priority="1" stopIfTrue="1"/>
  </conditionalFormatting>
  <conditionalFormatting sqref="C16:F16 H16 J16:L16 I18:L18">
    <cfRule type="cellIs" dxfId="64" priority="121" operator="equal">
      <formula>" "</formula>
    </cfRule>
  </conditionalFormatting>
  <conditionalFormatting sqref="C16:F16">
    <cfRule type="cellIs" dxfId="63" priority="119" operator="lessThan">
      <formula>1</formula>
    </cfRule>
    <cfRule type="cellIs" dxfId="62" priority="114" operator="lessThan">
      <formula>0.1</formula>
    </cfRule>
  </conditionalFormatting>
  <conditionalFormatting sqref="C72:F72 H72">
    <cfRule type="cellIs" dxfId="61" priority="301" operator="equal">
      <formula>" "</formula>
    </cfRule>
  </conditionalFormatting>
  <conditionalFormatting sqref="C72:F72">
    <cfRule type="cellIs" dxfId="60" priority="298" operator="lessThan">
      <formula>1</formula>
    </cfRule>
    <cfRule type="cellIs" dxfId="59" priority="294" operator="lessThan">
      <formula>0.1</formula>
    </cfRule>
  </conditionalFormatting>
  <conditionalFormatting sqref="C86:F86">
    <cfRule type="cellIs" dxfId="58" priority="262" operator="lessThan">
      <formula>0.1</formula>
    </cfRule>
    <cfRule type="cellIs" dxfId="57" priority="263" operator="lessThan">
      <formula>1</formula>
    </cfRule>
    <cfRule type="cellIs" dxfId="56" priority="264" operator="equal">
      <formula>" "</formula>
    </cfRule>
  </conditionalFormatting>
  <conditionalFormatting sqref="C100:F100 H100 J100:L100 I102:L102">
    <cfRule type="cellIs" dxfId="55" priority="247" operator="equal">
      <formula>" "</formula>
    </cfRule>
  </conditionalFormatting>
  <conditionalFormatting sqref="C100:F100">
    <cfRule type="cellIs" dxfId="54" priority="239" operator="lessThan">
      <formula>0.1</formula>
    </cfRule>
    <cfRule type="cellIs" dxfId="53" priority="244" operator="lessThan">
      <formula>1</formula>
    </cfRule>
  </conditionalFormatting>
  <conditionalFormatting sqref="C143:F143 H143 J143:L143">
    <cfRule type="cellIs" dxfId="52" priority="228" operator="equal">
      <formula>" "</formula>
    </cfRule>
  </conditionalFormatting>
  <conditionalFormatting sqref="C143:F143">
    <cfRule type="cellIs" dxfId="51" priority="222" operator="lessThan">
      <formula>0.1</formula>
    </cfRule>
    <cfRule type="cellIs" dxfId="50" priority="226" operator="lessThan">
      <formula>1</formula>
    </cfRule>
  </conditionalFormatting>
  <conditionalFormatting sqref="H16">
    <cfRule type="cellIs" dxfId="49" priority="113" operator="lessThan">
      <formula>0.1</formula>
    </cfRule>
    <cfRule type="cellIs" dxfId="48" priority="118" operator="lessThan">
      <formula>1</formula>
    </cfRule>
  </conditionalFormatting>
  <conditionalFormatting sqref="H72">
    <cfRule type="cellIs" dxfId="47" priority="297" operator="lessThan">
      <formula>1</formula>
    </cfRule>
    <cfRule type="cellIs" dxfId="46" priority="293" operator="lessThan">
      <formula>0.1</formula>
    </cfRule>
  </conditionalFormatting>
  <conditionalFormatting sqref="H86 J86:L86">
    <cfRule type="cellIs" dxfId="45" priority="279" operator="equal">
      <formula>" "</formula>
    </cfRule>
  </conditionalFormatting>
  <conditionalFormatting sqref="H86">
    <cfRule type="cellIs" dxfId="44" priority="276" operator="lessThan">
      <formula>1</formula>
    </cfRule>
    <cfRule type="cellIs" dxfId="43" priority="272" operator="lessThan">
      <formula>0.1</formula>
    </cfRule>
  </conditionalFormatting>
  <conditionalFormatting sqref="H100">
    <cfRule type="cellIs" dxfId="42" priority="238" operator="lessThan">
      <formula>0.1</formula>
    </cfRule>
    <cfRule type="cellIs" dxfId="41" priority="243" operator="lessThan">
      <formula>1</formula>
    </cfRule>
  </conditionalFormatting>
  <conditionalFormatting sqref="H143">
    <cfRule type="cellIs" dxfId="40" priority="225" operator="lessThan">
      <formula>1</formula>
    </cfRule>
    <cfRule type="cellIs" dxfId="39" priority="221" operator="lessThan">
      <formula>0.1</formula>
    </cfRule>
  </conditionalFormatting>
  <conditionalFormatting sqref="H20:K63">
    <cfRule type="cellIs" dxfId="38" priority="51" operator="lessThan">
      <formula>1</formula>
    </cfRule>
  </conditionalFormatting>
  <conditionalFormatting sqref="H76:K77">
    <cfRule type="cellIs" dxfId="37" priority="290" operator="lessThan">
      <formula>1</formula>
    </cfRule>
  </conditionalFormatting>
  <conditionalFormatting sqref="H90:K91">
    <cfRule type="cellIs" dxfId="36" priority="268" operator="lessThan">
      <formula>1</formula>
    </cfRule>
  </conditionalFormatting>
  <conditionalFormatting sqref="H104:K134">
    <cfRule type="cellIs" dxfId="35" priority="39" operator="lessThan">
      <formula>1</formula>
    </cfRule>
  </conditionalFormatting>
  <conditionalFormatting sqref="H147:K163">
    <cfRule type="cellIs" dxfId="34" priority="3" operator="lessThan">
      <formula>1</formula>
    </cfRule>
  </conditionalFormatting>
  <conditionalFormatting sqref="I18:L18">
    <cfRule type="cellIs" dxfId="33" priority="109" operator="equal">
      <formula>0</formula>
    </cfRule>
  </conditionalFormatting>
  <conditionalFormatting sqref="I74:L74">
    <cfRule type="cellIs" dxfId="32" priority="283" operator="equal">
      <formula>" "</formula>
    </cfRule>
    <cfRule type="cellIs" dxfId="31" priority="282" operator="equal">
      <formula>0</formula>
    </cfRule>
  </conditionalFormatting>
  <conditionalFormatting sqref="I88:L88">
    <cfRule type="cellIs" dxfId="30" priority="261" operator="equal">
      <formula>" "</formula>
    </cfRule>
    <cfRule type="cellIs" dxfId="29" priority="260" operator="equal">
      <formula>0</formula>
    </cfRule>
  </conditionalFormatting>
  <conditionalFormatting sqref="I102:L102">
    <cfRule type="cellIs" dxfId="28" priority="233" operator="equal">
      <formula>0</formula>
    </cfRule>
  </conditionalFormatting>
  <conditionalFormatting sqref="I145:L145">
    <cfRule type="cellIs" dxfId="27" priority="211" operator="equal">
      <formula>" "</formula>
    </cfRule>
    <cfRule type="cellIs" dxfId="26" priority="210" operator="equal">
      <formula>0</formula>
    </cfRule>
  </conditionalFormatting>
  <conditionalFormatting sqref="J16:L16">
    <cfRule type="cellIs" dxfId="25" priority="112" operator="lessThan">
      <formula>0.1</formula>
    </cfRule>
    <cfRule type="cellIs" dxfId="24" priority="117" operator="lessThan">
      <formula>1</formula>
    </cfRule>
  </conditionalFormatting>
  <conditionalFormatting sqref="J72:L72">
    <cfRule type="cellIs" dxfId="23" priority="285" operator="lessThan">
      <formula>1</formula>
    </cfRule>
    <cfRule type="cellIs" dxfId="22" priority="286" operator="equal">
      <formula>" "</formula>
    </cfRule>
    <cfRule type="cellIs" dxfId="21" priority="284" operator="lessThan">
      <formula>0.1</formula>
    </cfRule>
  </conditionalFormatting>
  <conditionalFormatting sqref="J86:L86">
    <cfRule type="cellIs" dxfId="20" priority="271" operator="lessThan">
      <formula>0.1</formula>
    </cfRule>
    <cfRule type="cellIs" dxfId="19" priority="275" operator="lessThan">
      <formula>1</formula>
    </cfRule>
  </conditionalFormatting>
  <conditionalFormatting sqref="J100:L100">
    <cfRule type="cellIs" dxfId="18" priority="242" operator="lessThan">
      <formula>1</formula>
    </cfRule>
    <cfRule type="cellIs" dxfId="17" priority="237" operator="lessThan">
      <formula>0.1</formula>
    </cfRule>
  </conditionalFormatting>
  <conditionalFormatting sqref="J143:L143">
    <cfRule type="cellIs" dxfId="16" priority="220" operator="lessThan">
      <formula>0.1</formula>
    </cfRule>
    <cfRule type="cellIs" dxfId="15" priority="224" operator="lessThan">
      <formula>1</formula>
    </cfRule>
  </conditionalFormatting>
  <conditionalFormatting sqref="O17:S18">
    <cfRule type="cellIs" dxfId="14" priority="110" operator="lessThan">
      <formula>0.1</formula>
    </cfRule>
    <cfRule type="cellIs" dxfId="13" priority="115" operator="lessThan">
      <formula>1</formula>
    </cfRule>
    <cfRule type="cellIs" dxfId="12" priority="120" operator="equal">
      <formula>" "</formula>
    </cfRule>
  </conditionalFormatting>
  <conditionalFormatting sqref="O73:S74">
    <cfRule type="cellIs" dxfId="11" priority="291" operator="lessThan">
      <formula>0.1</formula>
    </cfRule>
    <cfRule type="cellIs" dxfId="10" priority="295" operator="lessThan">
      <formula>1</formula>
    </cfRule>
    <cfRule type="cellIs" dxfId="9" priority="300" operator="equal">
      <formula>" "</formula>
    </cfRule>
  </conditionalFormatting>
  <conditionalFormatting sqref="O87:S88">
    <cfRule type="cellIs" dxfId="8" priority="269" operator="lessThan">
      <formula>0.1</formula>
    </cfRule>
    <cfRule type="cellIs" dxfId="7" priority="273" operator="lessThan">
      <formula>1</formula>
    </cfRule>
    <cfRule type="cellIs" dxfId="6" priority="278" operator="equal">
      <formula>" "</formula>
    </cfRule>
  </conditionalFormatting>
  <conditionalFormatting sqref="O101:S102">
    <cfRule type="cellIs" dxfId="5" priority="240" operator="lessThan">
      <formula>1</formula>
    </cfRule>
    <cfRule type="cellIs" dxfId="4" priority="235" operator="lessThan">
      <formula>0.1</formula>
    </cfRule>
    <cfRule type="cellIs" dxfId="3" priority="246" operator="equal">
      <formula>" "</formula>
    </cfRule>
  </conditionalFormatting>
  <conditionalFormatting sqref="O144:S145">
    <cfRule type="cellIs" dxfId="2" priority="214" operator="equal">
      <formula>" "</formula>
    </cfRule>
    <cfRule type="cellIs" dxfId="1" priority="213" operator="lessThan">
      <formula>1</formula>
    </cfRule>
    <cfRule type="cellIs" dxfId="0" priority="212" operator="lessThan">
      <formula>0.1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</dc:creator>
  <cp:lastModifiedBy>Xiangfu Xiao</cp:lastModifiedBy>
  <dcterms:created xsi:type="dcterms:W3CDTF">2018-11-02T08:57:00Z</dcterms:created>
  <dcterms:modified xsi:type="dcterms:W3CDTF">2023-09-15T04:32:40Z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2052-11.1.0.14309</vt:lpwstr>
  </property>
  <property fmtid="{D5CDD505-2E9C-101B-9397-08002B2CF9AE}" pid="4" name="ICV">
    <vt:lpwstr>DAE94F1FA92A4D258F7CC081369BC8B9</vt:lpwstr>
  </property>
  <property fmtid="{D5CDD505-2E9C-101B-9397-08002B2CF9AE}" pid="5" name="KSOReadingLayout">
    <vt:bool>true</vt:bool>
  </property>
</Properties>
</file>